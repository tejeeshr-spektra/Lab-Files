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149369A9-F7EC-4D79-80C2-099D25478BE2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Sheet1" sheetId="1" r:id="rId1"/>
    <sheet name="Data Analysis" sheetId="2" r:id="rId2"/>
    <sheet name="COGS Review" sheetId="3" r:id="rId3"/>
    <sheet name="COGS Analysis Report" sheetId="4" r:id="rId4"/>
    <sheet name="Data Review Summary" sheetId="5" r:id="rId5"/>
    <sheet name="COGS Data Review" sheetId="6" r:id="rId6"/>
    <sheet name="Data Quality Review" sheetId="7" r:id="rId7"/>
    <sheet name="COGS Review Report" sheetId="8" r:id="rId8"/>
    <sheet name="COGS Quality Review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9" l="1"/>
  <c r="C19" i="9"/>
  <c r="C18" i="9"/>
  <c r="C35" i="9"/>
  <c r="C34" i="9"/>
  <c r="C33" i="9"/>
  <c r="C32" i="9"/>
  <c r="C31" i="9"/>
  <c r="C30" i="9"/>
  <c r="C29" i="9"/>
  <c r="C28" i="9"/>
  <c r="B37" i="9" a="1"/>
  <c r="B37" i="9"/>
  <c r="B36" i="9"/>
  <c r="B35" i="9"/>
  <c r="B34" i="9"/>
  <c r="B33" i="9"/>
  <c r="B32" i="9"/>
  <c r="B31" i="9"/>
  <c r="B30" i="9"/>
  <c r="B29" i="9"/>
  <c r="B28" i="9"/>
  <c r="B37" i="8" a="1"/>
  <c r="B37" i="8"/>
  <c r="B36" i="8"/>
  <c r="B35" i="8"/>
  <c r="B34" i="8"/>
  <c r="B33" i="8"/>
  <c r="B32" i="8"/>
  <c r="B31" i="8"/>
  <c r="B30" i="8"/>
  <c r="B29" i="8"/>
  <c r="B28" i="8"/>
  <c r="B34" i="5"/>
  <c r="B33" i="5"/>
  <c r="B32" i="5"/>
  <c r="B30" i="5"/>
  <c r="B29" i="5"/>
  <c r="B28" i="5"/>
  <c r="B32" i="4" a="1"/>
  <c r="B32" i="4"/>
  <c r="B41" i="4"/>
  <c r="B40" i="4"/>
  <c r="B39" i="4"/>
  <c r="B38" i="4"/>
  <c r="B37" i="4"/>
  <c r="B36" i="4"/>
  <c r="B35" i="4"/>
  <c r="B34" i="4"/>
  <c r="B33" i="4"/>
  <c r="B31" i="4" a="1"/>
  <c r="B31" i="4"/>
  <c r="B30" i="4"/>
  <c r="B31" i="3"/>
  <c r="B32" i="3"/>
  <c r="B33" i="3"/>
  <c r="B34" i="3" a="1"/>
  <c r="B34" i="3"/>
  <c r="B35" i="3"/>
  <c r="B36" i="3"/>
  <c r="B30" i="2" a="1"/>
  <c r="B30" i="2"/>
  <c r="B28" i="2"/>
  <c r="B29" i="2" a="1"/>
  <c r="B29" i="2"/>
  <c r="B31" i="2"/>
  <c r="B32" i="2"/>
  <c r="B33" i="2"/>
  <c r="B34" i="2"/>
  <c r="B35" i="2"/>
  <c r="B36" i="2"/>
  <c r="B37" i="2"/>
  <c r="B38" i="2"/>
  <c r="B3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<sst xmlns="http://schemas.openxmlformats.org/spreadsheetml/2006/main" count="786" uniqueCount="305">
  <si>
    <t>Product Feature</t>
  </si>
  <si>
    <t>Material</t>
  </si>
  <si>
    <t>Supplier</t>
  </si>
  <si>
    <t>Estimated Units</t>
  </si>
  <si>
    <t>Unit Cost</t>
  </si>
  <si>
    <t>Total COGS</t>
  </si>
  <si>
    <t>Notes</t>
  </si>
  <si>
    <t>Eco Battery</t>
  </si>
  <si>
    <t>Aluminum</t>
  </si>
  <si>
    <t>Adatum Corporation</t>
  </si>
  <si>
    <t>Energy Sensor</t>
  </si>
  <si>
    <t>Glass</t>
  </si>
  <si>
    <t>Boulder Innovations</t>
  </si>
  <si>
    <t>Urgent review required</t>
  </si>
  <si>
    <t>Solar Panel</t>
  </si>
  <si>
    <t>Copper</t>
  </si>
  <si>
    <t>Contoso, Ltd.</t>
  </si>
  <si>
    <t>Bulk discount applied</t>
  </si>
  <si>
    <t>Silicon</t>
  </si>
  <si>
    <t>VanArsdel, Ltd.</t>
  </si>
  <si>
    <t>Check supplier pricing</t>
  </si>
  <si>
    <t>Steel</t>
  </si>
  <si>
    <t>Composite</t>
  </si>
  <si>
    <t>Smart Charger</t>
  </si>
  <si>
    <t>Recycled Frame</t>
  </si>
  <si>
    <t>0937628_lodsprod</t>
  </si>
  <si>
    <t>Smart Thermostat</t>
  </si>
  <si>
    <t>Northwind Traders</t>
  </si>
  <si>
    <t>Lithium</t>
  </si>
  <si>
    <t>Trey Research</t>
  </si>
  <si>
    <t>LED Display</t>
  </si>
  <si>
    <t>Plastic</t>
  </si>
  <si>
    <t>Water Filter</t>
  </si>
  <si>
    <t>SECTION 1: Column Descriptions</t>
  </si>
  <si>
    <t>Column Name</t>
  </si>
  <si>
    <t>Data Type</t>
  </si>
  <si>
    <t>Description &amp; Purpose</t>
  </si>
  <si>
    <t>Text</t>
  </si>
  <si>
    <t>Name of the product component in the ZavaHome line (e.g., Eco Battery, Solar Panel, Smart Charger)</t>
  </si>
  <si>
    <t>Primary material used in manufacturing (e.g., Aluminum, Copper, Silicon, Glass, Steel)</t>
  </si>
  <si>
    <t>Vendor/company supplying the component (e.g., Contoso, Ltd., VanArsdel, Ltd., Trey Research)</t>
  </si>
  <si>
    <t>Numeric (Integer)</t>
  </si>
  <si>
    <t>Projected quantity of units to be ordered/produced for cost estimation</t>
  </si>
  <si>
    <t>Currency ($)</t>
  </si>
  <si>
    <t>Cost per individual unit from the supplier, used for COGS calculation</t>
  </si>
  <si>
    <t>Total Cost of Goods Sold = Estimated Units × Unit Cost; key metric for financial planning</t>
  </si>
  <si>
    <t>Flags for action items: pricing reviews, bulk discounts applied, or urgent reviews needed</t>
  </si>
  <si>
    <t>SECTION 2: Data Quality Issues Identified</t>
  </si>
  <si>
    <t>Issue Type</t>
  </si>
  <si>
    <t>Location</t>
  </si>
  <si>
    <t>Details</t>
  </si>
  <si>
    <t>Impact on Accuracy</t>
  </si>
  <si>
    <t>Missing Supplier</t>
  </si>
  <si>
    <t>Row 16 (C16)</t>
  </si>
  <si>
    <t>Smart Charger - Lithium has no supplier listed</t>
  </si>
  <si>
    <t>Cannot verify pricing or procurement source; affects supplier spend analysis</t>
  </si>
  <si>
    <t>Row 23 (C23)</t>
  </si>
  <si>
    <t>Smart Charger - Glass has no supplier listed</t>
  </si>
  <si>
    <t>Potential Unit Cost Outlier</t>
  </si>
  <si>
    <t>Row 17 (E17)</t>
  </si>
  <si>
    <t>Energy Sensor - Aluminum: Unit Cost = $652.60</t>
  </si>
  <si>
    <t>Significantly higher than similar products; may be data entry error or premium component</t>
  </si>
  <si>
    <t>Row 24 (E24)</t>
  </si>
  <si>
    <t>Smart Thermostat - Plastic: Unit Cost = $732.82</t>
  </si>
  <si>
    <t>Unusually high for plastic material; verify with supplier quote</t>
  </si>
  <si>
    <t>Row 28 (E28)</t>
  </si>
  <si>
    <t>LED Display - Aluminum: Unit Cost = $892.75</t>
  </si>
  <si>
    <t>Highest unit cost in dataset; needs verification against supplier contracts</t>
  </si>
  <si>
    <t>Empty Notes Field</t>
  </si>
  <si>
    <t>Multiple Rows</t>
  </si>
  <si>
    <t>Rows 2, 18, 21, 22, 25, 27, 28, 31, 32, 33, 38, 47 have no notes</t>
  </si>
  <si>
    <t>May indicate missing review status or action items; consider standardizing</t>
  </si>
  <si>
    <t>Inconsistent Notes Categories</t>
  </si>
  <si>
    <t>Column G</t>
  </si>
  <si>
    <t>Mix of: 'Urgent review required', 'Bulk discount applied', 'Check supplier pricing', and blanks</t>
  </si>
  <si>
    <t>Recommend standardized status codes for better filtering and tracking</t>
  </si>
  <si>
    <t>SECTION 3: Quick Data Summary (Formula-Based)</t>
  </si>
  <si>
    <t>Metric</t>
  </si>
  <si>
    <t>Value</t>
  </si>
  <si>
    <t>Total Records</t>
  </si>
  <si>
    <t>Unique Product Features</t>
  </si>
  <si>
    <t>Unique Suppliers (non-blank)</t>
  </si>
  <si>
    <t>Missing Supplier Count</t>
  </si>
  <si>
    <t>Total Estimated Units</t>
  </si>
  <si>
    <t>Average Unit Cost</t>
  </si>
  <si>
    <t>Max Unit Cost</t>
  </si>
  <si>
    <t>Min Unit Cost</t>
  </si>
  <si>
    <t>Records Needing Urgent Review</t>
  </si>
  <si>
    <t>Records with Bulk Discount</t>
  </si>
  <si>
    <t>Records to Check Pricing</t>
  </si>
  <si>
    <t>Zava Home COGS Estimates — Data Review</t>
  </si>
  <si>
    <t>Purpose: document key fields and flag missing or inconsistent data points that could affect COGS accuracy.</t>
  </si>
  <si>
    <t>1) Key Column Descriptions</t>
  </si>
  <si>
    <t>Column</t>
  </si>
  <si>
    <t>Purpose</t>
  </si>
  <si>
    <t>Accuracy Consideration</t>
  </si>
  <si>
    <t>Identifies the Zava Home component being costed.</t>
  </si>
  <si>
    <t>Needed for product-level COGS aggregation and variance review.</t>
  </si>
  <si>
    <t>Primary material used in the component.</t>
  </si>
  <si>
    <t>Supports material cost benchmarking and outlier checks.</t>
  </si>
  <si>
    <t>Vendor providing the component/material.</t>
  </si>
  <si>
    <t>Required for supplier spend analysis and quote validation.</t>
  </si>
  <si>
    <t>Integer</t>
  </si>
  <si>
    <t>Projected number of units to order or produce.</t>
  </si>
  <si>
    <t>Key volume driver for Total COGS; incorrect values distort totals.</t>
  </si>
  <si>
    <t>Currency</t>
  </si>
  <si>
    <t>Estimated cost per unit from supplier quote or assumption.</t>
  </si>
  <si>
    <t>Primary cost assumption; outliers should be verified.</t>
  </si>
  <si>
    <t>Extended cost for each line item.</t>
  </si>
  <si>
    <t>Should equal Estimated Units × Unit Cost.</t>
  </si>
  <si>
    <t>Text / Status</t>
  </si>
  <si>
    <t>Action or review flag such as urgent review, bulk discount, or pricing check.</t>
  </si>
  <si>
    <t>Blank or inconsistent statuses make follow-up prioritization harder.</t>
  </si>
  <si>
    <t>2) Missing or Inconsistent Data Points Affecting Accuracy</t>
  </si>
  <si>
    <t>Issue</t>
  </si>
  <si>
    <t>Potential Impact / Recommended Action</t>
  </si>
  <si>
    <t>Missing supplier</t>
  </si>
  <si>
    <t>Sheet1!C16</t>
  </si>
  <si>
    <t>Smart Charger / Lithium has no supplier listed.</t>
  </si>
  <si>
    <t>Cannot validate source pricing or include accurately in supplier spend analysis; request supplier name.</t>
  </si>
  <si>
    <t>Sheet1!C23</t>
  </si>
  <si>
    <t>Smart Charger / Glass has no supplier listed.</t>
  </si>
  <si>
    <t>Total COGS formula mismatch</t>
  </si>
  <si>
    <t>Sheet1!F17</t>
  </si>
  <si>
    <t>Reported $245,432.98 vs expected $1,904,286.80 from 2,918 × $652.60.</t>
  </si>
  <si>
    <t>Material understatement of $1,658,853.82 if Unit Cost is correct; verify Unit Cost and Total COGS.</t>
  </si>
  <si>
    <t>Sheet1!F24</t>
  </si>
  <si>
    <t>Reported $109,748.26 vs expected $1,470,036.92 from 2,006 × $732.82.</t>
  </si>
  <si>
    <t>Material understatement of $1,360,288.66 if Unit Cost is correct; verify Unit Cost and Total COGS.</t>
  </si>
  <si>
    <t>Sheet1!F28</t>
  </si>
  <si>
    <t>Reported $126,882.00 vs expected $1,606,950.00 from 1,800 × $892.75.</t>
  </si>
  <si>
    <t>Material understatement of $1,480,068.00 if Unit Cost is correct; verify Unit Cost and Total COGS.</t>
  </si>
  <si>
    <t>Potential unit cost outlier</t>
  </si>
  <si>
    <t>Sheet1!E17, E24, E28</t>
  </si>
  <si>
    <t>Unit costs of $652.60, $732.82, and $892.75 are materially higher than most records.</t>
  </si>
  <si>
    <t>These rows also drive COGS mismatches; confirm whether decimals or totals were entered incorrectly.</t>
  </si>
  <si>
    <t>Blank notes/status</t>
  </si>
  <si>
    <t>Rows 2, 18, 21, 22, 25, 27, 28, 29, 31, 32, 33, 38, 47</t>
  </si>
  <si>
    <t>13 records have no review status or action note.</t>
  </si>
  <si>
    <t>May hide unresolved pricing/review actions; standardize a required status value.</t>
  </si>
  <si>
    <t>Inconsistent notes categories</t>
  </si>
  <si>
    <t>Sheet1!G:G</t>
  </si>
  <si>
    <t>Notes mix action items, discount indicators, urgent review flags, and blanks.</t>
  </si>
  <si>
    <t>Harder to filter by workflow state; consider controlled status categories.</t>
  </si>
  <si>
    <t>Unexpected data outside table</t>
  </si>
  <si>
    <t>Sheet1!K10</t>
  </si>
  <si>
    <t>Value “0937628_lodsprod” appears outside the main A:G dataset.</t>
  </si>
  <si>
    <t>May be stray metadata or pasted value; remove or document if relevant.</t>
  </si>
  <si>
    <t>Summary Metrics</t>
  </si>
  <si>
    <t>Formula / Basis</t>
  </si>
  <si>
    <t>Comment</t>
  </si>
  <si>
    <t>Total records</t>
  </si>
  <si>
    <t>COUNTA(Product Feature)</t>
  </si>
  <si>
    <t>Full dataset reviewed.</t>
  </si>
  <si>
    <t>Missing supplier count</t>
  </si>
  <si>
    <t>COUNTBLANK(Supplier)</t>
  </si>
  <si>
    <t>Two records require supplier follow-up.</t>
  </si>
  <si>
    <t>Blank notes count</t>
  </si>
  <si>
    <t>COUNTBLANK(Notes)</t>
  </si>
  <si>
    <t>13 records need status standardization.</t>
  </si>
  <si>
    <t>COGS formula mismatches</t>
  </si>
  <si>
    <t>Estimated Units × Unit Cost vs Total COGS</t>
  </si>
  <si>
    <t>Three records have material calculation inconsistencies.</t>
  </si>
  <si>
    <t>Max unit cost</t>
  </si>
  <si>
    <t>MAX(Unit Cost)</t>
  </si>
  <si>
    <t>Used to identify top outlier.</t>
  </si>
  <si>
    <t>Total COGS as reported</t>
  </si>
  <si>
    <t>SUM(Total COGS)</t>
  </si>
  <si>
    <t>Core forecast total before corrections.</t>
  </si>
  <si>
    <t>Zava Home COGS Estimates — Data Review Report</t>
  </si>
  <si>
    <t>Purpose: Document key fields and flag missing or inconsistent data points that could affect COGS accuracy.</t>
  </si>
  <si>
    <t>SECTION 1: Key Column Descriptions</t>
  </si>
  <si>
    <t>Identifies the Zava Home component being costed (e.g., Eco Battery, Solar Panel).</t>
  </si>
  <si>
    <t>Primary material used in the component (e.g., Aluminum, Copper, Silicon).</t>
  </si>
  <si>
    <t>Vendor providing the component/material (e.g., Contoso, Ltd., VanArsdel, Ltd.).</t>
  </si>
  <si>
    <t>Extended cost for each line item (Estimated Units × Unit Cost).</t>
  </si>
  <si>
    <t>Should equal Estimated Units × Unit Cost; mismatches indicate errors.</t>
  </si>
  <si>
    <t>Action or review flag (e.g., urgent review, bulk discount, pricing check).</t>
  </si>
  <si>
    <t>SECTION 2: Missing or Inconsistent Data Points Affecting Accuracy</t>
  </si>
  <si>
    <t>Impact / Recommended Action</t>
  </si>
  <si>
    <t>Cannot validate source pricing; request supplier name.</t>
  </si>
  <si>
    <t>COGS Formula Mismatch</t>
  </si>
  <si>
    <t>Reported $245,433 vs expected $1,904,287 (2,918 × $652.60).</t>
  </si>
  <si>
    <t>Understatement of $1,658,854; verify Unit Cost and formula.</t>
  </si>
  <si>
    <t>Reported $109,748 vs expected $1,470,037 (2,006 × $732.82).</t>
  </si>
  <si>
    <t>Understatement of $1,360,289; verify Unit Cost and formula.</t>
  </si>
  <si>
    <t>Reported $126,882 vs expected $1,606,950 (1,800 × $892.75).</t>
  </si>
  <si>
    <t>Understatement of $1,480,068; verify Unit Cost and formula.</t>
  </si>
  <si>
    <t>Unit Cost Outlier</t>
  </si>
  <si>
    <t>Sheet1!E17</t>
  </si>
  <si>
    <t>Energy Sensor / Aluminum: Unit Cost = $652.60.</t>
  </si>
  <si>
    <t>10x+ higher than similar products; confirm accuracy.</t>
  </si>
  <si>
    <t>Sheet1!E24</t>
  </si>
  <si>
    <t>Smart Thermostat / Plastic: Unit Cost = $732.82.</t>
  </si>
  <si>
    <t>Unusually high for plastic; verify against supplier quote.</t>
  </si>
  <si>
    <t>Sheet1!E28</t>
  </si>
  <si>
    <t>LED Display / Aluminum: Unit Cost = $892.75.</t>
  </si>
  <si>
    <t>Highest unit cost in dataset; verify against contracts.</t>
  </si>
  <si>
    <t>Blank Notes/Status</t>
  </si>
  <si>
    <t>Sheet1!G (13 rows)</t>
  </si>
  <si>
    <t>Rows 2,18,21,22,25,27,28,31,32,33,38,47 have no status.</t>
  </si>
  <si>
    <t>May hide unresolved actions; standardize status values.</t>
  </si>
  <si>
    <t>Inconsistent Notes</t>
  </si>
  <si>
    <t>Notes mix action items, discount flags, and review flags.</t>
  </si>
  <si>
    <t>Harder to filter by workflow; use controlled categories.</t>
  </si>
  <si>
    <t>Stray Data</t>
  </si>
  <si>
    <t>Value '0937628_lodsprod' outside main A:G dataset.</t>
  </si>
  <si>
    <t>Remove or document if relevant metadata.</t>
  </si>
  <si>
    <t>SECTION 3: Summary Metrics (Formula-Based)</t>
  </si>
  <si>
    <t>COUNTA of Product Feature column</t>
  </si>
  <si>
    <t>Count of unique product names</t>
  </si>
  <si>
    <t>Count of unique suppliers (excluding blanks)</t>
  </si>
  <si>
    <t>COUNTBLANK of Supplier column</t>
  </si>
  <si>
    <t>SUM of Estimated Units</t>
  </si>
  <si>
    <t>Total COGS (as reported)</t>
  </si>
  <si>
    <t>SUM of Total COGS column</t>
  </si>
  <si>
    <t>AVERAGE of Unit Cost column</t>
  </si>
  <si>
    <t>MAX of Unit Cost column</t>
  </si>
  <si>
    <t>MIN of Unit Cost column</t>
  </si>
  <si>
    <t>COUNTIF for 'Urgent review required'</t>
  </si>
  <si>
    <t>COUNTIF for 'Bulk discount applied'</t>
  </si>
  <si>
    <t>COUNTIF for 'Check supplier pricing'</t>
  </si>
  <si>
    <t>I'm a financial analyst for Zava Retail. I was asked to analyze</t>
  </si>
  <si>
    <t>the Zava Home COGS Estimates spreadsheet for Zava Retail's new Zava</t>
  </si>
  <si>
    <t>Home product line. Can you please review the dataset in this</t>
  </si>
  <si>
    <t>spreadsheet and provide two things in a new sheet: (1) a clear</t>
  </si>
  <si>
    <t>description of each key column and its purpose, and (2) a list of any</t>
  </si>
  <si>
    <t>missing or inconsistent data points that could affect accuracy.</t>
  </si>
  <si>
    <t>Identifies the Zava Home component being costed (e.g., Eco Battery, Solar Panel, Smart Charger).</t>
  </si>
  <si>
    <t>Required for product-level COGS aggregation and variance analysis.</t>
  </si>
  <si>
    <t>Present your findings in a concise, structured format in a new sheet.</t>
  </si>
  <si>
    <t>Primary material used in the component (e.g., Aluminum, Copper, Silicon, Glass).</t>
  </si>
  <si>
    <t>Supports material cost benchmarking and outlier detection.</t>
  </si>
  <si>
    <t>Primary cost assumption; outliers should be verified against contracts.</t>
  </si>
  <si>
    <t>Extended cost for each line item (should equal Estimated Units × Unit Cost).</t>
  </si>
  <si>
    <t>Mismatches indicate calculation errors requiring correction.</t>
  </si>
  <si>
    <t>Action or review flags (e.g., Urgent review, Bulk discount, Check pricing).</t>
  </si>
  <si>
    <t>Blank or inconsistent statuses make follow-up prioritization difficult.</t>
  </si>
  <si>
    <t>Cannot validate pricing; request supplier name.</t>
  </si>
  <si>
    <t>Understatement of ~$1.66M; verify Unit Cost and recalculate.</t>
  </si>
  <si>
    <t>Understatement of ~$1.36M; verify Unit Cost and recalculate.</t>
  </si>
  <si>
    <t>Understatement of ~$1.48M; verify Unit Cost and recalculate.</t>
  </si>
  <si>
    <t>Unit costs of $652.60, $732.82, $892.75 are 5-10x higher than typical.</t>
  </si>
  <si>
    <t>May be data entry error; verify with supplier quotes.</t>
  </si>
  <si>
    <t>Rows 2, 18, 21, 22, 25, 27, 28, 31, 32, 33, 38, 47 have no status.</t>
  </si>
  <si>
    <t>Notes mix action items, discount indicators, and review flags.</t>
  </si>
  <si>
    <t>Harder to filter; consider controlled status categories.</t>
  </si>
  <si>
    <t>SECTION 3: Summary Metrics</t>
  </si>
  <si>
    <t>Blank Notes Count</t>
  </si>
  <si>
    <t>COUNTBLANK of Notes column</t>
  </si>
  <si>
    <t>COGS Formula Mismatches</t>
  </si>
  <si>
    <t>Manual count where Units × Cost ≠ Total COGS</t>
  </si>
  <si>
    <t>Purpose: Document key fields and identify data quality issues affecting COGS accuracy.</t>
  </si>
  <si>
    <t>Primary material used in manufacturing (e.g., Aluminum, Copper, Silicon, Glass).</t>
  </si>
  <si>
    <t>Vendor providing the component (e.g., Contoso, Ltd., VanArsdel, Ltd., Trey Research).</t>
  </si>
  <si>
    <t>Required for product-level COGS aggregation.</t>
  </si>
  <si>
    <t>Primary material used in manufacturing (e.g., Aluminum, Copper, Silicon).</t>
  </si>
  <si>
    <t>Supports material cost benchmarking.</t>
  </si>
  <si>
    <t>Vendor providing the component (e.g., Contoso, Ltd., VanArsdel, Ltd.).</t>
  </si>
  <si>
    <t>Required for supplier spend analysis.</t>
  </si>
  <si>
    <t>Key volume driver for Total COGS.</t>
  </si>
  <si>
    <t>Estimated cost per unit from supplier quote.</t>
  </si>
  <si>
    <t>Outliers should be verified against contracts.</t>
  </si>
  <si>
    <t>Extended cost (should equal Units × Unit Cost).</t>
  </si>
  <si>
    <t>Mismatches indicate calculation errors.</t>
  </si>
  <si>
    <t>Action or review flags (Urgent review, Bulk discount, etc.).</t>
  </si>
  <si>
    <t>Blank statuses make follow-up difficult.</t>
  </si>
  <si>
    <t>SECTION 2: Missing or Inconsistent Data Points</t>
  </si>
  <si>
    <t>Impact / Action</t>
  </si>
  <si>
    <t>Smart Charger / Lithium - no supplier</t>
  </si>
  <si>
    <t>Request supplier name</t>
  </si>
  <si>
    <t>Smart Charger / Glass - no supplier</t>
  </si>
  <si>
    <t>COGS Mismatch</t>
  </si>
  <si>
    <t>Row 17: Expected $1,904,287 vs $245,433</t>
  </si>
  <si>
    <t>Verify Unit Cost; recalculate</t>
  </si>
  <si>
    <t>Row 24: Expected $1,470,037 vs $109,748</t>
  </si>
  <si>
    <t>Row 28: Expected $1,606,950 vs $126,882</t>
  </si>
  <si>
    <t>E17, E24, E28</t>
  </si>
  <si>
    <t>$652.60, $732.82, $892.75 (5-10× typical)</t>
  </si>
  <si>
    <t>Verify with supplier quotes</t>
  </si>
  <si>
    <t>Blank Notes</t>
  </si>
  <si>
    <t>13 rows have no status/notes</t>
  </si>
  <si>
    <t>Standardize status values</t>
  </si>
  <si>
    <t>Mix of action items, discounts, flags</t>
  </si>
  <si>
    <t>Use controlled categories</t>
  </si>
  <si>
    <t>0937628_lodsprod' outside dataset</t>
  </si>
  <si>
    <t>Remove or document</t>
  </si>
  <si>
    <t>Formula</t>
  </si>
  <si>
    <t>Urgent Review Count</t>
  </si>
  <si>
    <t>COGS Mismatches</t>
  </si>
  <si>
    <t>Primary material used in manufacturing.</t>
  </si>
  <si>
    <t>Vendor providing the component.</t>
  </si>
  <si>
    <t>Projected number of units to order.</t>
  </si>
  <si>
    <t>Estimated cost per unit from supplier.</t>
  </si>
  <si>
    <t>Outliers should be verified.</t>
  </si>
  <si>
    <t>Extended cost (Units × Unit Cost).</t>
  </si>
  <si>
    <t>Mismatches indicate errors.</t>
  </si>
  <si>
    <t>Action or review flags.</t>
  </si>
  <si>
    <t>Verify and recalculate</t>
  </si>
  <si>
    <t>$652-$893 (5-10× typical)</t>
  </si>
  <si>
    <t>13 rows have no status</t>
  </si>
  <si>
    <t>Mix of action items and flags</t>
  </si>
  <si>
    <t>Data outside main dataset</t>
  </si>
  <si>
    <t>COUNTIF for 'Urgent review'</t>
  </si>
  <si>
    <t>SUMPRODUCT mismatch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</si>
</sst>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 applyAlignment="1">
      <alignment wrapText="1"/>
    </xf>
    <xf numFmtId="0" fontId="4" fillId="3" borderId="1" xfId="0" applyFont="1" applyFill="1" applyBorder="1"/>
    <xf numFmtId="0" fontId="4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3" fontId="0" fillId="0" borderId="1" xfId="0" applyNumberFormat="1" applyBorder="1"/>
    <xf numFmtId="0" fontId="4" fillId="7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wrapText="1"/>
    </xf>
    <xf numFmtId="164" fontId="0" fillId="0" borderId="2" xfId="0" applyNumberFormat="1" applyBorder="1" applyAlignment="1">
      <alignment vertical="top" wrapText="1"/>
    </xf>
    <xf numFmtId="4" fontId="0" fillId="0" borderId="2" xfId="0" applyNumberFormat="1" applyBorder="1" applyAlignment="1">
      <alignment vertical="top" wrapText="1"/>
    </xf>
    <xf numFmtId="0" fontId="8" fillId="9" borderId="1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8" fillId="11" borderId="1" xfId="0" applyFont="1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13" fillId="12" borderId="1" xfId="0" applyFont="1" applyFill="1" applyBorder="1" applyAlignment="1">
      <alignment wrapText="1"/>
    </xf>
    <xf numFmtId="0" fontId="12" fillId="12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8" fillId="13" borderId="1" xfId="0" applyFont="1" applyFill="1" applyBorder="1" applyAlignment="1">
      <alignment wrapText="1"/>
    </xf>
    <xf numFmtId="3" fontId="0" fillId="10" borderId="1" xfId="0" applyNumberFormat="1" applyFill="1" applyBorder="1" applyAlignment="1">
      <alignment wrapText="1"/>
    </xf>
    <xf numFmtId="164" fontId="0" fillId="0" borderId="1" xfId="0" applyNumberFormat="1" applyBorder="1" applyAlignment="1">
      <alignment wrapText="1"/>
    </xf>
    <xf numFmtId="164" fontId="0" fillId="10" borderId="1" xfId="0" applyNumberFormat="1" applyFill="1" applyBorder="1" applyAlignment="1">
      <alignment wrapText="1"/>
    </xf>
    <xf numFmtId="0" fontId="8" fillId="16" borderId="1" xfId="0" applyFont="1" applyFill="1" applyBorder="1"/>
    <xf numFmtId="0" fontId="0" fillId="10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17" borderId="1" xfId="0" applyFont="1" applyFill="1" applyBorder="1"/>
    <xf numFmtId="0" fontId="0" fillId="11" borderId="1" xfId="0" applyFill="1" applyBorder="1" applyAlignment="1">
      <alignment vertical="top" wrapText="1"/>
    </xf>
    <xf numFmtId="0" fontId="8" fillId="19" borderId="1" xfId="0" applyFont="1" applyFill="1" applyBorder="1"/>
    <xf numFmtId="0" fontId="0" fillId="13" borderId="1" xfId="0" applyFill="1" applyBorder="1"/>
    <xf numFmtId="164" fontId="0" fillId="13" borderId="1" xfId="0" applyNumberFormat="1" applyFill="1" applyBorder="1"/>
    <xf numFmtId="0" fontId="11" fillId="3" borderId="0" xfId="0" applyFont="1" applyFill="1"/>
    <xf numFmtId="0" fontId="6" fillId="8" borderId="0" xfId="0" applyFont="1" applyFill="1"/>
    <xf numFmtId="0" fontId="11" fillId="15" borderId="0" xfId="0" applyFont="1" applyFill="1"/>
    <xf numFmtId="0" fontId="11" fillId="18" borderId="0" xfId="0" applyFont="1" applyFill="1"/>
    <xf numFmtId="0" fontId="8" fillId="16" borderId="1" xfId="0" applyFont="1" applyFill="1" applyBorder="1" applyAlignment="1">
      <alignment wrapText="1"/>
    </xf>
    <xf numFmtId="0" fontId="8" fillId="16" borderId="0" xfId="0" applyFont="1" applyFill="1"/>
    <xf numFmtId="0" fontId="0" fillId="0" borderId="0" xfId="0" applyAlignment="1">
      <alignment vertical="top" wrapText="1"/>
    </xf>
    <xf numFmtId="0" fontId="14" fillId="14" borderId="0" xfId="0" applyFont="1" applyFill="1"/>
    <xf numFmtId="0" fontId="8" fillId="20" borderId="0" xfId="0" applyFont="1" applyFill="1"/>
    <xf numFmtId="0" fontId="0" fillId="0" borderId="0" xfId="0" quotePrefix="1" applyAlignment="1">
      <alignment wrapText="1"/>
    </xf>
    <xf numFmtId="0" fontId="8" fillId="21" borderId="0" xfId="0" applyFont="1" applyFill="1"/>
    <xf numFmtId="164" fontId="0" fillId="0" borderId="0" xfId="0" applyNumberFormat="1"/>
    <xf numFmtId="3" fontId="0" fillId="0" borderId="0" xfId="0" applyNumberFormat="1"/>
    <xf numFmtId="0" fontId="15" fillId="0" borderId="0" xfId="0" applyFont="1"/>
    <xf numFmtId="0" fontId="5" fillId="5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6" borderId="0" xfId="0" applyFont="1" applyFill="1" applyAlignment="1">
      <alignment wrapText="1"/>
    </xf>
    <xf numFmtId="0" fontId="14" fillId="14" borderId="0" xfId="0" applyFont="1" applyFill="1" applyAlignment="1">
      <alignment horizontal="center" wrapText="1"/>
    </xf>
    <xf numFmtId="0" fontId="6" fillId="8" borderId="0" xfId="0" applyFont="1" applyFill="1" applyAlignment="1">
      <alignment wrapText="1"/>
    </xf>
    <xf numFmtId="0" fontId="11" fillId="15" borderId="0" xfId="0" applyFont="1" applyFill="1" applyAlignment="1">
      <alignment wrapText="1"/>
    </xf>
    <xf numFmtId="0" fontId="14" fillId="14" borderId="0" xfId="0" applyFont="1" applyFill="1" applyAlignment="1">
      <alignment horizontal="center"/>
    </xf>
    <xf numFmtId="0" fontId="9" fillId="8" borderId="0" xfId="0" applyFont="1" applyFill="1" applyAlignment="1"/>
    <xf numFmtId="0" fontId="10" fillId="0" borderId="0" xfId="0" applyFont="1" applyAlignment="1"/>
    <xf numFmtId="0" fontId="11" fillId="2" borderId="0" xfId="0" applyFont="1" applyFill="1" applyAlignment="1"/>
    <xf numFmtId="0" fontId="11" fillId="3" borderId="0" xfId="0" applyFont="1" applyFill="1" applyAlignment="1"/>
    <xf numFmtId="0" fontId="11" fillId="4" borderId="0" xfId="0" applyFont="1" applyFill="1" applyAlignment="1"/>
    <xf numFmtId="0" fontId="11" fillId="18" borderId="0" xfId="0" applyFont="1" applyFill="1" applyAlignment="1"/>
    <xf numFmtId="0" fontId="0" fillId="0" borderId="0" xfId="0" applyAlignment="1"/>
    <xf numFmtId="0" fontId="6" fillId="8" borderId="0" xfId="0" applyFont="1" applyFill="1" applyAlignment="1"/>
    <xf numFmtId="0" fontId="11" fillId="1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opLeftCell="C9" workbookViewId="0">
      <selection activeCell="R27" sqref="R27"/>
    </sheetView>
  </sheetViews>
  <sheetFormatPr defaultRowHeight="15"/>
  <cols>
    <col min="1" max="1" width="16.7109375" bestFit="1" customWidth="1"/>
    <col min="2" max="2" width="10.140625" bestFit="1" customWidth="1"/>
    <col min="3" max="3" width="18.85546875" bestFit="1" customWidth="1"/>
    <col min="4" max="4" width="15" bestFit="1" customWidth="1"/>
    <col min="6" max="6" width="10.85546875" bestFit="1" customWidth="1"/>
    <col min="7" max="7" width="21.28515625" bestFit="1" customWidth="1"/>
    <col min="11" max="11" width="17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 s="2" t="s">
        <v>7</v>
      </c>
      <c r="B2" s="2" t="s">
        <v>8</v>
      </c>
      <c r="C2" s="2" t="s">
        <v>9</v>
      </c>
      <c r="D2" s="2">
        <v>845</v>
      </c>
      <c r="E2" s="2">
        <v>23.51</v>
      </c>
      <c r="F2" s="2">
        <v>19865.95</v>
      </c>
      <c r="G2" s="2"/>
    </row>
    <row r="3" spans="1:11">
      <c r="A3" s="2" t="s">
        <v>10</v>
      </c>
      <c r="B3" s="2" t="s">
        <v>11</v>
      </c>
      <c r="C3" s="2" t="s">
        <v>12</v>
      </c>
      <c r="D3" s="2">
        <v>1838</v>
      </c>
      <c r="E3" s="2">
        <v>83.38</v>
      </c>
      <c r="F3" s="2">
        <v>153252.44</v>
      </c>
      <c r="G3" s="2" t="s">
        <v>13</v>
      </c>
    </row>
    <row r="4" spans="1:11">
      <c r="A4" s="2" t="s">
        <v>14</v>
      </c>
      <c r="B4" s="2" t="s">
        <v>15</v>
      </c>
      <c r="C4" s="2" t="s">
        <v>16</v>
      </c>
      <c r="D4" s="2">
        <v>401</v>
      </c>
      <c r="E4" s="2">
        <v>79.88</v>
      </c>
      <c r="F4" s="2">
        <v>32031.88</v>
      </c>
      <c r="G4" s="2" t="s">
        <v>17</v>
      </c>
    </row>
    <row r="5" spans="1:11">
      <c r="A5" s="2" t="s">
        <v>7</v>
      </c>
      <c r="B5" s="2" t="s">
        <v>18</v>
      </c>
      <c r="C5" s="2" t="s">
        <v>19</v>
      </c>
      <c r="D5" s="2">
        <v>4033</v>
      </c>
      <c r="E5" s="2">
        <v>68.08</v>
      </c>
      <c r="F5" s="2">
        <v>274566.64</v>
      </c>
      <c r="G5" s="2" t="s">
        <v>13</v>
      </c>
    </row>
    <row r="6" spans="1:11">
      <c r="A6" s="2" t="s">
        <v>7</v>
      </c>
      <c r="B6" s="2" t="s">
        <v>15</v>
      </c>
      <c r="C6" s="2" t="s">
        <v>19</v>
      </c>
      <c r="D6" s="2">
        <v>135</v>
      </c>
      <c r="E6" s="2">
        <v>12.22</v>
      </c>
      <c r="F6" s="2">
        <v>1649.7</v>
      </c>
      <c r="G6" s="2" t="s">
        <v>20</v>
      </c>
    </row>
    <row r="7" spans="1:11">
      <c r="A7" s="2" t="s">
        <v>10</v>
      </c>
      <c r="B7" s="2" t="s">
        <v>21</v>
      </c>
      <c r="C7" s="2" t="s">
        <v>19</v>
      </c>
      <c r="D7" s="2">
        <v>1410</v>
      </c>
      <c r="E7" s="2">
        <v>114.82</v>
      </c>
      <c r="F7" s="2">
        <v>161896.20000000001</v>
      </c>
      <c r="G7" s="2" t="s">
        <v>20</v>
      </c>
    </row>
    <row r="8" spans="1:11">
      <c r="A8" s="2" t="s">
        <v>14</v>
      </c>
      <c r="B8" s="2" t="s">
        <v>22</v>
      </c>
      <c r="C8" s="2" t="s">
        <v>19</v>
      </c>
      <c r="D8" s="2">
        <v>3456</v>
      </c>
      <c r="E8" s="2">
        <v>32.96</v>
      </c>
      <c r="F8" s="2">
        <v>113909.75999999999</v>
      </c>
      <c r="G8" s="2" t="s">
        <v>20</v>
      </c>
    </row>
    <row r="9" spans="1:11">
      <c r="A9" s="2" t="s">
        <v>23</v>
      </c>
      <c r="B9" s="2" t="s">
        <v>8</v>
      </c>
      <c r="C9" s="2" t="s">
        <v>12</v>
      </c>
      <c r="D9" s="2">
        <v>4014</v>
      </c>
      <c r="E9" s="2">
        <v>68.98</v>
      </c>
      <c r="F9" s="2">
        <v>276885.71999999997</v>
      </c>
      <c r="G9" s="2" t="s">
        <v>20</v>
      </c>
    </row>
    <row r="10" spans="1:11">
      <c r="A10" s="2" t="s">
        <v>24</v>
      </c>
      <c r="B10" s="2" t="s">
        <v>21</v>
      </c>
      <c r="C10" s="2" t="s">
        <v>19</v>
      </c>
      <c r="D10" s="2">
        <v>4344</v>
      </c>
      <c r="E10" s="2">
        <v>122.04</v>
      </c>
      <c r="F10" s="2">
        <v>530141.76</v>
      </c>
      <c r="G10" s="2" t="s">
        <v>13</v>
      </c>
      <c r="K10" t="s">
        <v>25</v>
      </c>
    </row>
    <row r="11" spans="1:11">
      <c r="A11" s="2" t="s">
        <v>14</v>
      </c>
      <c r="B11" s="2" t="s">
        <v>22</v>
      </c>
      <c r="C11" s="2" t="s">
        <v>16</v>
      </c>
      <c r="D11" s="2">
        <v>2102</v>
      </c>
      <c r="E11" s="2">
        <v>10.44</v>
      </c>
      <c r="F11" s="2">
        <v>21944.880000000001</v>
      </c>
      <c r="G11" s="2" t="s">
        <v>17</v>
      </c>
    </row>
    <row r="12" spans="1:11">
      <c r="A12" s="2" t="s">
        <v>26</v>
      </c>
      <c r="B12" s="2" t="s">
        <v>11</v>
      </c>
      <c r="C12" s="2" t="s">
        <v>19</v>
      </c>
      <c r="D12" s="2">
        <v>488</v>
      </c>
      <c r="E12" s="2">
        <v>132.43</v>
      </c>
      <c r="F12" s="2">
        <v>64625.84</v>
      </c>
      <c r="G12" s="2" t="s">
        <v>20</v>
      </c>
    </row>
    <row r="13" spans="1:11">
      <c r="A13" s="2" t="s">
        <v>24</v>
      </c>
      <c r="B13" s="2" t="s">
        <v>22</v>
      </c>
      <c r="C13" s="2" t="s">
        <v>9</v>
      </c>
      <c r="D13" s="2">
        <v>1943</v>
      </c>
      <c r="E13" s="2">
        <v>12.22</v>
      </c>
      <c r="F13" s="2">
        <v>23743.46</v>
      </c>
      <c r="G13" s="2" t="s">
        <v>17</v>
      </c>
    </row>
    <row r="14" spans="1:11">
      <c r="A14" s="2" t="s">
        <v>23</v>
      </c>
      <c r="B14" s="2" t="s">
        <v>15</v>
      </c>
      <c r="C14" s="2" t="s">
        <v>19</v>
      </c>
      <c r="D14" s="2">
        <v>3775</v>
      </c>
      <c r="E14" s="2">
        <v>140.77000000000001</v>
      </c>
      <c r="F14" s="2">
        <v>531406.75</v>
      </c>
      <c r="G14" s="2" t="s">
        <v>17</v>
      </c>
    </row>
    <row r="15" spans="1:11">
      <c r="A15" s="2" t="s">
        <v>14</v>
      </c>
      <c r="B15" s="2" t="s">
        <v>21</v>
      </c>
      <c r="C15" s="2" t="s">
        <v>27</v>
      </c>
      <c r="D15" s="2">
        <v>2465</v>
      </c>
      <c r="E15" s="2">
        <v>84.27</v>
      </c>
      <c r="F15" s="2">
        <v>207725.55</v>
      </c>
      <c r="G15" s="2" t="s">
        <v>17</v>
      </c>
    </row>
    <row r="16" spans="1:11">
      <c r="A16" s="2" t="s">
        <v>23</v>
      </c>
      <c r="B16" s="2" t="s">
        <v>28</v>
      </c>
      <c r="C16" s="2"/>
      <c r="D16" s="2">
        <v>4547</v>
      </c>
      <c r="E16" s="2">
        <v>55.78</v>
      </c>
      <c r="F16" s="2">
        <v>253631.66</v>
      </c>
      <c r="G16" s="2" t="s">
        <v>20</v>
      </c>
    </row>
    <row r="17" spans="1:7">
      <c r="A17" s="2" t="s">
        <v>10</v>
      </c>
      <c r="B17" s="2" t="s">
        <v>8</v>
      </c>
      <c r="C17" s="2" t="s">
        <v>29</v>
      </c>
      <c r="D17" s="2">
        <v>2918</v>
      </c>
      <c r="E17" s="2">
        <v>652.6</v>
      </c>
      <c r="F17" s="2">
        <v>245432.98</v>
      </c>
      <c r="G17" s="2" t="s">
        <v>17</v>
      </c>
    </row>
    <row r="18" spans="1:7">
      <c r="A18" s="2" t="s">
        <v>10</v>
      </c>
      <c r="B18" s="2" t="s">
        <v>21</v>
      </c>
      <c r="C18" s="2" t="s">
        <v>29</v>
      </c>
      <c r="D18" s="2">
        <v>2821</v>
      </c>
      <c r="E18" s="2">
        <v>55.22</v>
      </c>
      <c r="F18" s="2">
        <v>155775.62</v>
      </c>
      <c r="G18" s="2"/>
    </row>
    <row r="19" spans="1:7">
      <c r="A19" s="2" t="s">
        <v>30</v>
      </c>
      <c r="B19" s="2" t="s">
        <v>21</v>
      </c>
      <c r="C19" s="2" t="s">
        <v>19</v>
      </c>
      <c r="D19" s="2">
        <v>3830</v>
      </c>
      <c r="E19" s="2">
        <v>21.19</v>
      </c>
      <c r="F19" s="2">
        <v>81157.7</v>
      </c>
      <c r="G19" s="2" t="s">
        <v>13</v>
      </c>
    </row>
    <row r="20" spans="1:7">
      <c r="A20" s="2" t="s">
        <v>14</v>
      </c>
      <c r="B20" s="2" t="s">
        <v>28</v>
      </c>
      <c r="C20" s="2" t="s">
        <v>27</v>
      </c>
      <c r="D20" s="2">
        <v>4732</v>
      </c>
      <c r="E20" s="2">
        <v>61.98</v>
      </c>
      <c r="F20" s="2">
        <v>293289.36</v>
      </c>
      <c r="G20" s="2" t="s">
        <v>20</v>
      </c>
    </row>
    <row r="21" spans="1:7">
      <c r="A21" s="2" t="s">
        <v>24</v>
      </c>
      <c r="B21" s="2" t="s">
        <v>28</v>
      </c>
      <c r="C21" s="2" t="s">
        <v>12</v>
      </c>
      <c r="D21" s="2">
        <v>4749</v>
      </c>
      <c r="E21" s="2">
        <v>9.8000000000000007</v>
      </c>
      <c r="F21" s="2">
        <v>46540.2</v>
      </c>
      <c r="G21" s="2"/>
    </row>
    <row r="22" spans="1:7">
      <c r="A22" s="2" t="s">
        <v>24</v>
      </c>
      <c r="B22" s="2" t="s">
        <v>21</v>
      </c>
      <c r="C22" s="2" t="s">
        <v>12</v>
      </c>
      <c r="D22" s="2">
        <v>3966</v>
      </c>
      <c r="E22" s="2">
        <v>142.47</v>
      </c>
      <c r="F22" s="2">
        <v>565036.02</v>
      </c>
      <c r="G22" s="2"/>
    </row>
    <row r="23" spans="1:7">
      <c r="A23" s="2" t="s">
        <v>23</v>
      </c>
      <c r="B23" s="2" t="s">
        <v>11</v>
      </c>
      <c r="C23" s="2"/>
      <c r="D23" s="2">
        <v>1514</v>
      </c>
      <c r="E23" s="2">
        <v>112.53</v>
      </c>
      <c r="F23" s="2">
        <v>170370.42</v>
      </c>
      <c r="G23" s="2" t="s">
        <v>13</v>
      </c>
    </row>
    <row r="24" spans="1:7">
      <c r="A24" s="2" t="s">
        <v>26</v>
      </c>
      <c r="B24" s="2" t="s">
        <v>31</v>
      </c>
      <c r="C24" s="2" t="s">
        <v>29</v>
      </c>
      <c r="D24" s="2">
        <v>2006</v>
      </c>
      <c r="E24" s="2">
        <v>732.82</v>
      </c>
      <c r="F24" s="2">
        <v>109748.26</v>
      </c>
      <c r="G24" s="2" t="s">
        <v>17</v>
      </c>
    </row>
    <row r="25" spans="1:7">
      <c r="A25" s="2" t="s">
        <v>14</v>
      </c>
      <c r="B25" s="2" t="s">
        <v>18</v>
      </c>
      <c r="C25" s="2" t="s">
        <v>9</v>
      </c>
      <c r="D25" s="2">
        <v>2666</v>
      </c>
      <c r="E25" s="2">
        <v>85.32</v>
      </c>
      <c r="F25" s="2">
        <v>227463.12</v>
      </c>
      <c r="G25" s="2"/>
    </row>
    <row r="26" spans="1:7">
      <c r="A26" s="2" t="s">
        <v>26</v>
      </c>
      <c r="B26" s="2" t="s">
        <v>28</v>
      </c>
      <c r="C26" s="2" t="s">
        <v>16</v>
      </c>
      <c r="D26" s="2">
        <v>1096</v>
      </c>
      <c r="E26" s="2">
        <v>115.79</v>
      </c>
      <c r="F26" s="2">
        <v>126905.84</v>
      </c>
      <c r="G26" s="2" t="s">
        <v>13</v>
      </c>
    </row>
    <row r="27" spans="1:7">
      <c r="A27" s="2" t="s">
        <v>32</v>
      </c>
      <c r="B27" s="2" t="s">
        <v>15</v>
      </c>
      <c r="C27" s="2" t="s">
        <v>29</v>
      </c>
      <c r="D27" s="2">
        <v>4734</v>
      </c>
      <c r="E27" s="2">
        <v>143.44999999999999</v>
      </c>
      <c r="F27" s="2">
        <v>679092.3</v>
      </c>
      <c r="G27" s="2"/>
    </row>
    <row r="28" spans="1:7">
      <c r="A28" s="2" t="s">
        <v>30</v>
      </c>
      <c r="B28" s="2" t="s">
        <v>8</v>
      </c>
      <c r="C28" s="2" t="s">
        <v>19</v>
      </c>
      <c r="D28" s="2">
        <v>1800</v>
      </c>
      <c r="E28" s="2">
        <v>892.75</v>
      </c>
      <c r="F28" s="2">
        <v>126882</v>
      </c>
      <c r="G28" s="2"/>
    </row>
    <row r="29" spans="1:7">
      <c r="A29" s="2" t="s">
        <v>10</v>
      </c>
      <c r="B29" s="2" t="s">
        <v>11</v>
      </c>
      <c r="C29" s="2" t="s">
        <v>16</v>
      </c>
      <c r="D29" s="2">
        <v>1623</v>
      </c>
      <c r="E29" s="2">
        <v>92.41</v>
      </c>
      <c r="F29" s="2">
        <v>149981.43</v>
      </c>
      <c r="G29" s="2"/>
    </row>
    <row r="30" spans="1:7">
      <c r="A30" s="2" t="s">
        <v>14</v>
      </c>
      <c r="B30" s="2" t="s">
        <v>28</v>
      </c>
      <c r="C30" s="2" t="s">
        <v>29</v>
      </c>
      <c r="D30" s="2">
        <v>2439</v>
      </c>
      <c r="E30" s="2">
        <v>148.69</v>
      </c>
      <c r="F30" s="2">
        <v>362654.91</v>
      </c>
      <c r="G30" s="2" t="s">
        <v>20</v>
      </c>
    </row>
    <row r="31" spans="1:7">
      <c r="A31" s="2" t="s">
        <v>30</v>
      </c>
      <c r="B31" s="2" t="s">
        <v>15</v>
      </c>
      <c r="C31" s="2" t="s">
        <v>9</v>
      </c>
      <c r="D31" s="2">
        <v>1376</v>
      </c>
      <c r="E31" s="2">
        <v>74.37</v>
      </c>
      <c r="F31" s="2">
        <v>102333.12</v>
      </c>
      <c r="G31" s="2"/>
    </row>
    <row r="32" spans="1:7">
      <c r="A32" s="2" t="s">
        <v>10</v>
      </c>
      <c r="B32" s="2" t="s">
        <v>15</v>
      </c>
      <c r="C32" s="2" t="s">
        <v>12</v>
      </c>
      <c r="D32" s="2">
        <v>321</v>
      </c>
      <c r="E32" s="2">
        <v>84.13</v>
      </c>
      <c r="F32" s="2">
        <v>27005.73</v>
      </c>
      <c r="G32" s="2"/>
    </row>
    <row r="33" spans="1:7">
      <c r="A33" s="2" t="s">
        <v>32</v>
      </c>
      <c r="B33" s="2" t="s">
        <v>21</v>
      </c>
      <c r="C33" s="2" t="s">
        <v>12</v>
      </c>
      <c r="D33" s="2">
        <v>2417</v>
      </c>
      <c r="E33" s="2">
        <v>12.22</v>
      </c>
      <c r="F33" s="2">
        <v>29535.74</v>
      </c>
      <c r="G33" s="2"/>
    </row>
    <row r="34" spans="1:7">
      <c r="A34" s="2" t="s">
        <v>24</v>
      </c>
      <c r="B34" s="2" t="s">
        <v>22</v>
      </c>
      <c r="C34" s="2" t="s">
        <v>29</v>
      </c>
      <c r="D34" s="2">
        <v>324</v>
      </c>
      <c r="E34" s="2">
        <v>80.83</v>
      </c>
      <c r="F34" s="2">
        <v>26188.92</v>
      </c>
      <c r="G34" s="2" t="s">
        <v>13</v>
      </c>
    </row>
    <row r="35" spans="1:7">
      <c r="A35" s="2" t="s">
        <v>24</v>
      </c>
      <c r="B35" s="2" t="s">
        <v>8</v>
      </c>
      <c r="C35" s="2" t="s">
        <v>19</v>
      </c>
      <c r="D35" s="2">
        <v>3835</v>
      </c>
      <c r="E35" s="2">
        <v>19.64</v>
      </c>
      <c r="F35" s="2">
        <v>75319.399999999994</v>
      </c>
      <c r="G35" s="2" t="s">
        <v>17</v>
      </c>
    </row>
    <row r="36" spans="1:7">
      <c r="A36" s="2" t="s">
        <v>32</v>
      </c>
      <c r="B36" s="2" t="s">
        <v>11</v>
      </c>
      <c r="C36" s="2" t="s">
        <v>16</v>
      </c>
      <c r="D36" s="2">
        <v>2883</v>
      </c>
      <c r="E36" s="2">
        <v>43.46</v>
      </c>
      <c r="F36" s="2">
        <v>125295.18</v>
      </c>
      <c r="G36" s="2" t="s">
        <v>20</v>
      </c>
    </row>
    <row r="37" spans="1:7">
      <c r="A37" s="2" t="s">
        <v>10</v>
      </c>
      <c r="B37" s="2" t="s">
        <v>11</v>
      </c>
      <c r="C37" s="2" t="s">
        <v>16</v>
      </c>
      <c r="D37" s="2">
        <v>3494</v>
      </c>
      <c r="E37" s="2">
        <v>125.91</v>
      </c>
      <c r="F37" s="2">
        <v>439929.54</v>
      </c>
      <c r="G37" s="2" t="s">
        <v>17</v>
      </c>
    </row>
    <row r="38" spans="1:7">
      <c r="A38" s="2" t="s">
        <v>32</v>
      </c>
      <c r="B38" s="2" t="s">
        <v>8</v>
      </c>
      <c r="C38" s="2" t="s">
        <v>12</v>
      </c>
      <c r="D38" s="2">
        <v>4943</v>
      </c>
      <c r="E38" s="2">
        <v>109.65</v>
      </c>
      <c r="F38" s="2">
        <v>541999.94999999995</v>
      </c>
      <c r="G38" s="2"/>
    </row>
    <row r="39" spans="1:7">
      <c r="A39" s="2" t="s">
        <v>23</v>
      </c>
      <c r="B39" s="2" t="s">
        <v>11</v>
      </c>
      <c r="C39" s="2" t="s">
        <v>16</v>
      </c>
      <c r="D39" s="2">
        <v>1279</v>
      </c>
      <c r="E39" s="2">
        <v>48.69</v>
      </c>
      <c r="F39" s="2">
        <v>62274.51</v>
      </c>
      <c r="G39" s="2" t="s">
        <v>17</v>
      </c>
    </row>
    <row r="40" spans="1:7">
      <c r="A40" s="2" t="s">
        <v>24</v>
      </c>
      <c r="B40" s="2" t="s">
        <v>22</v>
      </c>
      <c r="C40" s="2" t="s">
        <v>16</v>
      </c>
      <c r="D40" s="2">
        <v>3846</v>
      </c>
      <c r="E40" s="2">
        <v>77.56</v>
      </c>
      <c r="F40" s="2">
        <v>298295.76</v>
      </c>
      <c r="G40" s="2" t="s">
        <v>17</v>
      </c>
    </row>
    <row r="41" spans="1:7">
      <c r="A41" s="2" t="s">
        <v>24</v>
      </c>
      <c r="B41" s="2" t="s">
        <v>15</v>
      </c>
      <c r="C41" s="2" t="s">
        <v>29</v>
      </c>
      <c r="D41" s="2">
        <v>4871</v>
      </c>
      <c r="E41" s="2">
        <v>126.28</v>
      </c>
      <c r="F41" s="2">
        <v>615109.88</v>
      </c>
      <c r="G41" s="2" t="s">
        <v>13</v>
      </c>
    </row>
    <row r="42" spans="1:7">
      <c r="A42" s="2" t="s">
        <v>30</v>
      </c>
      <c r="B42" s="2" t="s">
        <v>28</v>
      </c>
      <c r="C42" s="2" t="s">
        <v>16</v>
      </c>
      <c r="D42" s="2">
        <v>1705</v>
      </c>
      <c r="E42" s="2">
        <v>140.51</v>
      </c>
      <c r="F42" s="2">
        <v>239569.55</v>
      </c>
      <c r="G42" s="2" t="s">
        <v>13</v>
      </c>
    </row>
    <row r="43" spans="1:7">
      <c r="A43" s="2" t="s">
        <v>10</v>
      </c>
      <c r="B43" s="2" t="s">
        <v>11</v>
      </c>
      <c r="C43" s="2" t="s">
        <v>19</v>
      </c>
      <c r="D43" s="2">
        <v>4634</v>
      </c>
      <c r="E43" s="2">
        <v>124.55</v>
      </c>
      <c r="F43" s="2">
        <v>577164.69999999995</v>
      </c>
      <c r="G43" s="2" t="s">
        <v>20</v>
      </c>
    </row>
    <row r="44" spans="1:7">
      <c r="A44" s="2" t="s">
        <v>7</v>
      </c>
      <c r="B44" s="2" t="s">
        <v>18</v>
      </c>
      <c r="C44" s="2" t="s">
        <v>12</v>
      </c>
      <c r="D44" s="2">
        <v>4406</v>
      </c>
      <c r="E44" s="2">
        <v>149.07</v>
      </c>
      <c r="F44" s="2">
        <v>656802.42000000004</v>
      </c>
      <c r="G44" s="2" t="s">
        <v>20</v>
      </c>
    </row>
    <row r="45" spans="1:7">
      <c r="A45" s="2" t="s">
        <v>24</v>
      </c>
      <c r="B45" s="2" t="s">
        <v>22</v>
      </c>
      <c r="C45" s="2" t="s">
        <v>9</v>
      </c>
      <c r="D45" s="2">
        <v>3832</v>
      </c>
      <c r="E45" s="2">
        <v>51.63</v>
      </c>
      <c r="F45" s="2">
        <v>197846.16</v>
      </c>
      <c r="G45" s="2" t="s">
        <v>20</v>
      </c>
    </row>
    <row r="46" spans="1:7">
      <c r="A46" s="2" t="s">
        <v>14</v>
      </c>
      <c r="B46" s="2" t="s">
        <v>8</v>
      </c>
      <c r="C46" s="2" t="s">
        <v>29</v>
      </c>
      <c r="D46" s="2">
        <v>3990</v>
      </c>
      <c r="E46" s="2">
        <v>20.86</v>
      </c>
      <c r="F46" s="2">
        <v>83231.399999999994</v>
      </c>
      <c r="G46" s="2" t="s">
        <v>17</v>
      </c>
    </row>
    <row r="47" spans="1:7">
      <c r="A47" s="2" t="s">
        <v>23</v>
      </c>
      <c r="B47" s="2" t="s">
        <v>11</v>
      </c>
      <c r="C47" s="2" t="s">
        <v>29</v>
      </c>
      <c r="D47" s="2">
        <v>2229</v>
      </c>
      <c r="E47" s="2">
        <v>61.05</v>
      </c>
      <c r="F47" s="2">
        <v>136080.45000000001</v>
      </c>
      <c r="G47" s="2"/>
    </row>
    <row r="48" spans="1:7">
      <c r="A48" s="2" t="s">
        <v>7</v>
      </c>
      <c r="B48" s="2" t="s">
        <v>8</v>
      </c>
      <c r="C48" s="2" t="s">
        <v>16</v>
      </c>
      <c r="D48" s="2">
        <v>302</v>
      </c>
      <c r="E48" s="2">
        <v>21.02</v>
      </c>
      <c r="F48" s="2">
        <v>6348.04</v>
      </c>
      <c r="G48" s="2" t="s">
        <v>17</v>
      </c>
    </row>
    <row r="49" spans="1:7">
      <c r="A49" s="2" t="s">
        <v>24</v>
      </c>
      <c r="B49" s="2" t="s">
        <v>21</v>
      </c>
      <c r="C49" s="2" t="s">
        <v>27</v>
      </c>
      <c r="D49" s="2">
        <v>3740</v>
      </c>
      <c r="E49" s="2">
        <v>146.47999999999999</v>
      </c>
      <c r="F49" s="2">
        <v>547835.19999999995</v>
      </c>
      <c r="G49" s="2" t="s">
        <v>17</v>
      </c>
    </row>
    <row r="50" spans="1:7">
      <c r="A50" s="2" t="s">
        <v>10</v>
      </c>
      <c r="B50" s="2" t="s">
        <v>31</v>
      </c>
      <c r="C50" s="2" t="s">
        <v>16</v>
      </c>
      <c r="D50" s="2">
        <v>593</v>
      </c>
      <c r="E50" s="2">
        <v>78.03</v>
      </c>
      <c r="F50" s="2">
        <v>46271.79</v>
      </c>
      <c r="G50" s="2" t="s">
        <v>13</v>
      </c>
    </row>
    <row r="51" spans="1:7">
      <c r="A51" s="2" t="s">
        <v>32</v>
      </c>
      <c r="B51" s="2" t="s">
        <v>22</v>
      </c>
      <c r="C51" s="2" t="s">
        <v>16</v>
      </c>
      <c r="D51" s="2">
        <v>414</v>
      </c>
      <c r="E51" s="2">
        <v>128.97999999999999</v>
      </c>
      <c r="F51" s="2">
        <v>53397.72</v>
      </c>
      <c r="G5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1E69-E117-4893-B499-A52F4543F9FA}">
  <dimension ref="A1:D39"/>
  <sheetViews>
    <sheetView workbookViewId="0"/>
  </sheetViews>
  <sheetFormatPr defaultRowHeight="15"/>
  <cols>
    <col min="1" max="1" width="22.85546875" customWidth="1"/>
    <col min="2" max="2" width="24.7109375" customWidth="1"/>
    <col min="3" max="3" width="85.7109375" customWidth="1"/>
    <col min="4" max="4" width="66.7109375" customWidth="1"/>
  </cols>
  <sheetData>
    <row r="1" spans="1:4" ht="18.75">
      <c r="A1" s="3" t="s">
        <v>33</v>
      </c>
    </row>
    <row r="3" spans="1:4">
      <c r="A3" s="4" t="s">
        <v>34</v>
      </c>
      <c r="B3" s="4" t="s">
        <v>35</v>
      </c>
      <c r="C3" s="4" t="s">
        <v>36</v>
      </c>
    </row>
    <row r="4" spans="1:4" ht="198">
      <c r="A4" s="5" t="s">
        <v>0</v>
      </c>
      <c r="B4" s="5" t="s">
        <v>37</v>
      </c>
      <c r="C4" s="5" t="s">
        <v>38</v>
      </c>
    </row>
    <row r="5" spans="1:4" ht="183">
      <c r="A5" s="5" t="s">
        <v>1</v>
      </c>
      <c r="B5" s="5" t="s">
        <v>37</v>
      </c>
      <c r="C5" s="5" t="s">
        <v>39</v>
      </c>
    </row>
    <row r="6" spans="1:4" ht="198">
      <c r="A6" s="5" t="s">
        <v>2</v>
      </c>
      <c r="B6" s="5" t="s">
        <v>37</v>
      </c>
      <c r="C6" s="5" t="s">
        <v>40</v>
      </c>
    </row>
    <row r="7" spans="1:4" ht="137.25">
      <c r="A7" s="5" t="s">
        <v>3</v>
      </c>
      <c r="B7" s="5" t="s">
        <v>41</v>
      </c>
      <c r="C7" s="5" t="s">
        <v>42</v>
      </c>
    </row>
    <row r="8" spans="1:4" ht="137.25">
      <c r="A8" s="5" t="s">
        <v>4</v>
      </c>
      <c r="B8" s="5" t="s">
        <v>43</v>
      </c>
      <c r="C8" s="5" t="s">
        <v>44</v>
      </c>
    </row>
    <row r="9" spans="1:4" ht="183">
      <c r="A9" s="5" t="s">
        <v>5</v>
      </c>
      <c r="B9" s="5" t="s">
        <v>43</v>
      </c>
      <c r="C9" s="5" t="s">
        <v>45</v>
      </c>
    </row>
    <row r="10" spans="1:4" ht="167.25">
      <c r="A10" s="5" t="s">
        <v>6</v>
      </c>
      <c r="B10" s="5" t="s">
        <v>37</v>
      </c>
      <c r="C10" s="5" t="s">
        <v>46</v>
      </c>
    </row>
    <row r="13" spans="1:4" ht="18.75">
      <c r="A13" s="3" t="s">
        <v>47</v>
      </c>
    </row>
    <row r="15" spans="1:4">
      <c r="A15" s="6" t="s">
        <v>48</v>
      </c>
      <c r="B15" s="6" t="s">
        <v>49</v>
      </c>
      <c r="C15" s="6" t="s">
        <v>50</v>
      </c>
      <c r="D15" s="6" t="s">
        <v>51</v>
      </c>
    </row>
    <row r="16" spans="1:4" ht="152.25">
      <c r="A16" s="5" t="s">
        <v>52</v>
      </c>
      <c r="B16" s="5" t="s">
        <v>53</v>
      </c>
      <c r="C16" s="5" t="s">
        <v>54</v>
      </c>
      <c r="D16" s="5" t="s">
        <v>55</v>
      </c>
    </row>
    <row r="17" spans="1:4" ht="152.25">
      <c r="A17" s="5" t="s">
        <v>52</v>
      </c>
      <c r="B17" s="5" t="s">
        <v>56</v>
      </c>
      <c r="C17" s="5" t="s">
        <v>57</v>
      </c>
      <c r="D17" s="5" t="s">
        <v>55</v>
      </c>
    </row>
    <row r="18" spans="1:4" ht="183">
      <c r="A18" s="5" t="s">
        <v>58</v>
      </c>
      <c r="B18" s="5" t="s">
        <v>59</v>
      </c>
      <c r="C18" s="5" t="s">
        <v>60</v>
      </c>
      <c r="D18" s="5" t="s">
        <v>61</v>
      </c>
    </row>
    <row r="19" spans="1:4" ht="121.5">
      <c r="A19" s="5" t="s">
        <v>58</v>
      </c>
      <c r="B19" s="5" t="s">
        <v>62</v>
      </c>
      <c r="C19" s="5" t="s">
        <v>63</v>
      </c>
      <c r="D19" s="5" t="s">
        <v>64</v>
      </c>
    </row>
    <row r="20" spans="1:4" ht="152.25">
      <c r="A20" s="5" t="s">
        <v>58</v>
      </c>
      <c r="B20" s="5" t="s">
        <v>65</v>
      </c>
      <c r="C20" s="5" t="s">
        <v>66</v>
      </c>
      <c r="D20" s="5" t="s">
        <v>67</v>
      </c>
    </row>
    <row r="21" spans="1:4" ht="152.25">
      <c r="A21" s="5" t="s">
        <v>68</v>
      </c>
      <c r="B21" s="5" t="s">
        <v>69</v>
      </c>
      <c r="C21" s="5" t="s">
        <v>70</v>
      </c>
      <c r="D21" s="5" t="s">
        <v>71</v>
      </c>
    </row>
    <row r="22" spans="1:4" ht="152.25">
      <c r="A22" s="5" t="s">
        <v>72</v>
      </c>
      <c r="B22" s="5" t="s">
        <v>73</v>
      </c>
      <c r="C22" s="5" t="s">
        <v>74</v>
      </c>
      <c r="D22" s="5" t="s">
        <v>75</v>
      </c>
    </row>
    <row r="25" spans="1:4" ht="18.75">
      <c r="A25" s="3" t="s">
        <v>76</v>
      </c>
    </row>
    <row r="27" spans="1:4">
      <c r="A27" s="7" t="s">
        <v>77</v>
      </c>
      <c r="B27" s="7" t="s">
        <v>78</v>
      </c>
    </row>
    <row r="28" spans="1:4">
      <c r="A28" s="8" t="s">
        <v>79</v>
      </c>
      <c r="B28" s="8">
        <f>COUNTA(Sheet1!A2:A51)</f>
        <v>50</v>
      </c>
    </row>
    <row r="29" spans="1:4">
      <c r="A29" s="8" t="s">
        <v>80</v>
      </c>
      <c r="B29" s="8" cm="1">
        <f t="array" ref="B29">SUMPRODUCT(1/COUNTIF(Sheet1!A2:A51,Sheet1!A2:A51))</f>
        <v>7.9999999999999982</v>
      </c>
    </row>
    <row r="30" spans="1:4">
      <c r="A30" s="8" t="s">
        <v>81</v>
      </c>
      <c r="B30" s="10" cm="1">
        <f t="array" ref="B30">SUMPRODUCT((Sheet1!C2:C51&lt;&gt;"")/COUNTIF(Sheet1!C2:C51,Sheet1!C2:C51&amp;""))</f>
        <v>5.9999999999999964</v>
      </c>
    </row>
    <row r="31" spans="1:4">
      <c r="A31" s="8" t="s">
        <v>82</v>
      </c>
      <c r="B31" s="8">
        <f>COUNTBLANK(Sheet1!C2:C51)</f>
        <v>2</v>
      </c>
    </row>
    <row r="32" spans="1:4">
      <c r="A32" s="8" t="s">
        <v>83</v>
      </c>
      <c r="B32" s="11">
        <f>SUM(Sheet1!D2:D51)</f>
        <v>132124</v>
      </c>
    </row>
    <row r="33" spans="1:2">
      <c r="A33" s="8" t="s">
        <v>5</v>
      </c>
      <c r="B33" s="9">
        <f>SUM(Sheet1!F2:F51)</f>
        <v>10895443.509999998</v>
      </c>
    </row>
    <row r="34" spans="1:2">
      <c r="A34" s="8" t="s">
        <v>84</v>
      </c>
      <c r="B34" s="9">
        <f>AVERAGE(Sheet1!E2:E51)</f>
        <v>120.67439999999999</v>
      </c>
    </row>
    <row r="35" spans="1:2">
      <c r="A35" s="8" t="s">
        <v>85</v>
      </c>
      <c r="B35" s="9">
        <f>MAX(Sheet1!E2:E51)</f>
        <v>892.75</v>
      </c>
    </row>
    <row r="36" spans="1:2">
      <c r="A36" s="8" t="s">
        <v>86</v>
      </c>
      <c r="B36" s="9">
        <f>MIN(Sheet1!E2:E51)</f>
        <v>9.8000000000000007</v>
      </c>
    </row>
    <row r="37" spans="1:2">
      <c r="A37" s="8" t="s">
        <v>87</v>
      </c>
      <c r="B37" s="8">
        <f>COUNTIF(Sheet1!G2:G51,"*Urgent*")</f>
        <v>11</v>
      </c>
    </row>
    <row r="38" spans="1:2">
      <c r="A38" s="8" t="s">
        <v>88</v>
      </c>
      <c r="B38" s="8">
        <f>COUNTIF(Sheet1!G2:G51,"*Bulk*")</f>
        <v>14</v>
      </c>
    </row>
    <row r="39" spans="1:2">
      <c r="A39" s="8" t="s">
        <v>89</v>
      </c>
      <c r="B39" s="8">
        <f>COUNTIF(Sheet1!G2:G51,"*Check*")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002A-BC23-4F70-A6DD-70BCAFA19EBC}">
  <dimension ref="A1:D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style="14" customWidth="1"/>
    <col min="2" max="2" width="25.7109375" style="14" customWidth="1"/>
    <col min="3" max="3" width="49.5703125" style="14" customWidth="1"/>
    <col min="4" max="4" width="59" style="14" customWidth="1"/>
  </cols>
  <sheetData>
    <row r="1" spans="1:4" ht="21">
      <c r="A1" s="51" t="s">
        <v>90</v>
      </c>
      <c r="B1" s="51"/>
      <c r="C1" s="51"/>
      <c r="D1" s="51"/>
    </row>
    <row r="2" spans="1:4">
      <c r="A2" s="52" t="s">
        <v>91</v>
      </c>
      <c r="B2" s="52"/>
      <c r="C2" s="52"/>
      <c r="D2" s="52"/>
    </row>
    <row r="4" spans="1:4">
      <c r="A4" s="53" t="s">
        <v>92</v>
      </c>
      <c r="B4" s="53"/>
      <c r="C4" s="53"/>
      <c r="D4" s="53"/>
    </row>
    <row r="5" spans="1:4">
      <c r="A5" s="12" t="s">
        <v>93</v>
      </c>
      <c r="B5" s="12" t="s">
        <v>35</v>
      </c>
      <c r="C5" s="12" t="s">
        <v>94</v>
      </c>
      <c r="D5" s="12" t="s">
        <v>95</v>
      </c>
    </row>
    <row r="6" spans="1:4">
      <c r="A6" s="13" t="s">
        <v>0</v>
      </c>
      <c r="B6" s="13" t="s">
        <v>37</v>
      </c>
      <c r="C6" s="13" t="s">
        <v>96</v>
      </c>
      <c r="D6" s="13" t="s">
        <v>97</v>
      </c>
    </row>
    <row r="7" spans="1:4">
      <c r="A7" s="13" t="s">
        <v>1</v>
      </c>
      <c r="B7" s="13" t="s">
        <v>37</v>
      </c>
      <c r="C7" s="13" t="s">
        <v>98</v>
      </c>
      <c r="D7" s="13" t="s">
        <v>99</v>
      </c>
    </row>
    <row r="8" spans="1:4">
      <c r="A8" s="13" t="s">
        <v>2</v>
      </c>
      <c r="B8" s="13" t="s">
        <v>37</v>
      </c>
      <c r="C8" s="13" t="s">
        <v>100</v>
      </c>
      <c r="D8" s="13" t="s">
        <v>101</v>
      </c>
    </row>
    <row r="9" spans="1:4">
      <c r="A9" s="13" t="s">
        <v>3</v>
      </c>
      <c r="B9" s="13" t="s">
        <v>102</v>
      </c>
      <c r="C9" s="13" t="s">
        <v>103</v>
      </c>
      <c r="D9" s="13" t="s">
        <v>104</v>
      </c>
    </row>
    <row r="10" spans="1:4" ht="30.75">
      <c r="A10" s="13" t="s">
        <v>4</v>
      </c>
      <c r="B10" s="13" t="s">
        <v>105</v>
      </c>
      <c r="C10" s="13" t="s">
        <v>106</v>
      </c>
      <c r="D10" s="13" t="s">
        <v>107</v>
      </c>
    </row>
    <row r="11" spans="1:4">
      <c r="A11" s="13" t="s">
        <v>5</v>
      </c>
      <c r="B11" s="13" t="s">
        <v>105</v>
      </c>
      <c r="C11" s="13" t="s">
        <v>108</v>
      </c>
      <c r="D11" s="13" t="s">
        <v>109</v>
      </c>
    </row>
    <row r="12" spans="1:4" ht="30.75">
      <c r="A12" s="13" t="s">
        <v>6</v>
      </c>
      <c r="B12" s="13" t="s">
        <v>110</v>
      </c>
      <c r="C12" s="13" t="s">
        <v>111</v>
      </c>
      <c r="D12" s="13" t="s">
        <v>112</v>
      </c>
    </row>
    <row r="13" spans="1:4">
      <c r="A13" s="13"/>
      <c r="B13" s="13"/>
      <c r="C13" s="13"/>
      <c r="D13" s="13"/>
    </row>
    <row r="15" spans="1:4">
      <c r="A15" s="53" t="s">
        <v>113</v>
      </c>
      <c r="B15" s="53"/>
      <c r="C15" s="53"/>
      <c r="D15" s="53"/>
    </row>
    <row r="16" spans="1:4">
      <c r="A16" s="12" t="s">
        <v>114</v>
      </c>
      <c r="B16" s="12" t="s">
        <v>49</v>
      </c>
      <c r="C16" s="12" t="s">
        <v>50</v>
      </c>
      <c r="D16" s="12" t="s">
        <v>115</v>
      </c>
    </row>
    <row r="17" spans="1:4" ht="30.75">
      <c r="A17" s="13" t="s">
        <v>116</v>
      </c>
      <c r="B17" s="13" t="s">
        <v>117</v>
      </c>
      <c r="C17" s="13" t="s">
        <v>118</v>
      </c>
      <c r="D17" s="13" t="s">
        <v>119</v>
      </c>
    </row>
    <row r="18" spans="1:4" ht="30.75">
      <c r="A18" s="13" t="s">
        <v>116</v>
      </c>
      <c r="B18" s="13" t="s">
        <v>120</v>
      </c>
      <c r="C18" s="13" t="s">
        <v>121</v>
      </c>
      <c r="D18" s="13" t="s">
        <v>119</v>
      </c>
    </row>
    <row r="19" spans="1:4" ht="30.75">
      <c r="A19" s="13" t="s">
        <v>122</v>
      </c>
      <c r="B19" s="13" t="s">
        <v>123</v>
      </c>
      <c r="C19" s="13" t="s">
        <v>124</v>
      </c>
      <c r="D19" s="13" t="s">
        <v>125</v>
      </c>
    </row>
    <row r="20" spans="1:4" ht="30.75">
      <c r="A20" s="13" t="s">
        <v>122</v>
      </c>
      <c r="B20" s="13" t="s">
        <v>126</v>
      </c>
      <c r="C20" s="13" t="s">
        <v>127</v>
      </c>
      <c r="D20" s="13" t="s">
        <v>128</v>
      </c>
    </row>
    <row r="21" spans="1:4" ht="30.75">
      <c r="A21" s="13" t="s">
        <v>122</v>
      </c>
      <c r="B21" s="13" t="s">
        <v>129</v>
      </c>
      <c r="C21" s="13" t="s">
        <v>130</v>
      </c>
      <c r="D21" s="13" t="s">
        <v>131</v>
      </c>
    </row>
    <row r="22" spans="1:4" ht="30.75">
      <c r="A22" s="13" t="s">
        <v>132</v>
      </c>
      <c r="B22" s="13" t="s">
        <v>133</v>
      </c>
      <c r="C22" s="13" t="s">
        <v>134</v>
      </c>
      <c r="D22" s="13" t="s">
        <v>135</v>
      </c>
    </row>
    <row r="23" spans="1:4" ht="30.75">
      <c r="A23" s="13" t="s">
        <v>136</v>
      </c>
      <c r="B23" s="13" t="s">
        <v>137</v>
      </c>
      <c r="C23" s="13" t="s">
        <v>138</v>
      </c>
      <c r="D23" s="13" t="s">
        <v>139</v>
      </c>
    </row>
    <row r="24" spans="1:4" ht="30.75">
      <c r="A24" s="13" t="s">
        <v>140</v>
      </c>
      <c r="B24" s="13" t="s">
        <v>141</v>
      </c>
      <c r="C24" s="13" t="s">
        <v>142</v>
      </c>
      <c r="D24" s="13" t="s">
        <v>143</v>
      </c>
    </row>
    <row r="25" spans="1:4" ht="30.75">
      <c r="A25" s="13" t="s">
        <v>144</v>
      </c>
      <c r="B25" s="13" t="s">
        <v>145</v>
      </c>
      <c r="C25" s="13" t="s">
        <v>146</v>
      </c>
      <c r="D25" s="13" t="s">
        <v>147</v>
      </c>
    </row>
    <row r="29" spans="1:4">
      <c r="A29" s="53" t="s">
        <v>148</v>
      </c>
      <c r="B29" s="53"/>
      <c r="C29" s="53"/>
      <c r="D29" s="53"/>
    </row>
    <row r="30" spans="1:4">
      <c r="A30" s="12" t="s">
        <v>77</v>
      </c>
      <c r="B30" s="12" t="s">
        <v>78</v>
      </c>
      <c r="C30" s="12" t="s">
        <v>149</v>
      </c>
      <c r="D30" s="12" t="s">
        <v>150</v>
      </c>
    </row>
    <row r="31" spans="1:4">
      <c r="A31" s="13" t="s">
        <v>151</v>
      </c>
      <c r="B31" s="13">
        <f>COUNTA(Sheet1!A2:A51)</f>
        <v>50</v>
      </c>
      <c r="C31" s="13" t="s">
        <v>152</v>
      </c>
      <c r="D31" s="13" t="s">
        <v>153</v>
      </c>
    </row>
    <row r="32" spans="1:4">
      <c r="A32" s="13" t="s">
        <v>154</v>
      </c>
      <c r="B32" s="13">
        <f>COUNTBLANK(Sheet1!C2:C51)</f>
        <v>2</v>
      </c>
      <c r="C32" s="13" t="s">
        <v>155</v>
      </c>
      <c r="D32" s="13" t="s">
        <v>156</v>
      </c>
    </row>
    <row r="33" spans="1:4">
      <c r="A33" s="13" t="s">
        <v>157</v>
      </c>
      <c r="B33" s="13">
        <f>COUNTBLANK(Sheet1!G2:G51)</f>
        <v>13</v>
      </c>
      <c r="C33" s="13" t="s">
        <v>158</v>
      </c>
      <c r="D33" s="13" t="s">
        <v>159</v>
      </c>
    </row>
    <row r="34" spans="1:4">
      <c r="A34" s="13" t="s">
        <v>160</v>
      </c>
      <c r="B34" s="16" cm="1">
        <f t="array" ref="B34">SUMPRODUCT(--(ROUND(Sheet1!D2:D51*Sheet1!E2:E51,2)&lt;&gt;ROUND(Sheet1!F2:F51,2)))</f>
        <v>3</v>
      </c>
      <c r="C34" s="13" t="s">
        <v>161</v>
      </c>
      <c r="D34" s="13" t="s">
        <v>162</v>
      </c>
    </row>
    <row r="35" spans="1:4">
      <c r="A35" s="13" t="s">
        <v>163</v>
      </c>
      <c r="B35" s="15">
        <f>MAX(Sheet1!E2:E51)</f>
        <v>892.75</v>
      </c>
      <c r="C35" s="13" t="s">
        <v>164</v>
      </c>
      <c r="D35" s="13" t="s">
        <v>165</v>
      </c>
    </row>
    <row r="36" spans="1:4">
      <c r="A36" s="13" t="s">
        <v>166</v>
      </c>
      <c r="B36" s="15">
        <f>SUM(Sheet1!F2:F51)</f>
        <v>10895443.509999998</v>
      </c>
      <c r="C36" s="13" t="s">
        <v>167</v>
      </c>
      <c r="D36" s="13" t="s">
        <v>168</v>
      </c>
    </row>
  </sheetData>
  <mergeCells count="5">
    <mergeCell ref="A1:D1"/>
    <mergeCell ref="A2:D2"/>
    <mergeCell ref="A4:D4"/>
    <mergeCell ref="A15:D15"/>
    <mergeCell ref="A29:D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9DE4-878A-4221-AA28-3D05A3B48A73}">
  <dimension ref="A1:D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85546875" customWidth="1"/>
    <col min="2" max="2" width="19" customWidth="1"/>
    <col min="3" max="4" width="53.28515625" customWidth="1"/>
  </cols>
  <sheetData>
    <row r="1" spans="1:4" ht="30" customHeight="1">
      <c r="A1" s="58" t="s">
        <v>169</v>
      </c>
      <c r="B1" s="58"/>
      <c r="C1" s="58"/>
      <c r="D1" s="58"/>
    </row>
    <row r="2" spans="1:4">
      <c r="A2" s="59" t="s">
        <v>170</v>
      </c>
      <c r="B2" s="59"/>
      <c r="C2" s="59"/>
      <c r="D2" s="59"/>
    </row>
    <row r="4" spans="1:4" ht="15.75">
      <c r="A4" s="60" t="s">
        <v>171</v>
      </c>
      <c r="B4" s="60"/>
      <c r="C4" s="60"/>
      <c r="D4" s="60"/>
    </row>
    <row r="5" spans="1:4" ht="20.25" customHeight="1">
      <c r="A5" s="17" t="s">
        <v>93</v>
      </c>
      <c r="B5" s="17" t="s">
        <v>35</v>
      </c>
      <c r="C5" s="17" t="s">
        <v>94</v>
      </c>
      <c r="D5" s="17" t="s">
        <v>95</v>
      </c>
    </row>
    <row r="6" spans="1:4" ht="20.25" customHeight="1">
      <c r="A6" s="18" t="s">
        <v>0</v>
      </c>
      <c r="B6" s="18" t="s">
        <v>37</v>
      </c>
      <c r="C6" s="18" t="s">
        <v>172</v>
      </c>
      <c r="D6" s="18" t="s">
        <v>97</v>
      </c>
    </row>
    <row r="7" spans="1:4" ht="20.25" customHeight="1">
      <c r="A7" s="5" t="s">
        <v>1</v>
      </c>
      <c r="B7" s="5" t="s">
        <v>37</v>
      </c>
      <c r="C7" s="5" t="s">
        <v>173</v>
      </c>
      <c r="D7" s="5" t="s">
        <v>99</v>
      </c>
    </row>
    <row r="8" spans="1:4" ht="20.25" customHeight="1">
      <c r="A8" s="18" t="s">
        <v>2</v>
      </c>
      <c r="B8" s="18" t="s">
        <v>37</v>
      </c>
      <c r="C8" s="18" t="s">
        <v>174</v>
      </c>
      <c r="D8" s="18" t="s">
        <v>101</v>
      </c>
    </row>
    <row r="9" spans="1:4" ht="20.25" customHeight="1">
      <c r="A9" s="5" t="s">
        <v>3</v>
      </c>
      <c r="B9" s="5" t="s">
        <v>102</v>
      </c>
      <c r="C9" s="5" t="s">
        <v>103</v>
      </c>
      <c r="D9" s="5" t="s">
        <v>104</v>
      </c>
    </row>
    <row r="10" spans="1:4" ht="20.25" customHeight="1">
      <c r="A10" s="18" t="s">
        <v>4</v>
      </c>
      <c r="B10" s="18" t="s">
        <v>43</v>
      </c>
      <c r="C10" s="18" t="s">
        <v>106</v>
      </c>
      <c r="D10" s="18" t="s">
        <v>107</v>
      </c>
    </row>
    <row r="11" spans="1:4" ht="20.25" customHeight="1">
      <c r="A11" s="5" t="s">
        <v>5</v>
      </c>
      <c r="B11" s="5" t="s">
        <v>43</v>
      </c>
      <c r="C11" s="5" t="s">
        <v>175</v>
      </c>
      <c r="D11" s="5" t="s">
        <v>176</v>
      </c>
    </row>
    <row r="12" spans="1:4" ht="20.25" customHeight="1">
      <c r="A12" s="18" t="s">
        <v>6</v>
      </c>
      <c r="B12" s="18" t="s">
        <v>110</v>
      </c>
      <c r="C12" s="18" t="s">
        <v>177</v>
      </c>
      <c r="D12" s="18" t="s">
        <v>112</v>
      </c>
    </row>
    <row r="13" spans="1:4" ht="20.25" customHeight="1"/>
    <row r="14" spans="1:4" ht="20.25" customHeight="1">
      <c r="A14" s="61" t="s">
        <v>178</v>
      </c>
      <c r="B14" s="61"/>
      <c r="C14" s="61"/>
      <c r="D14" s="61"/>
    </row>
    <row r="15" spans="1:4" ht="20.25" customHeight="1">
      <c r="A15" s="19" t="s">
        <v>48</v>
      </c>
      <c r="B15" s="19" t="s">
        <v>49</v>
      </c>
      <c r="C15" s="19" t="s">
        <v>50</v>
      </c>
      <c r="D15" s="19" t="s">
        <v>179</v>
      </c>
    </row>
    <row r="16" spans="1:4" ht="20.25" customHeight="1">
      <c r="A16" s="20" t="s">
        <v>52</v>
      </c>
      <c r="B16" s="20" t="s">
        <v>117</v>
      </c>
      <c r="C16" s="20" t="s">
        <v>118</v>
      </c>
      <c r="D16" s="20" t="s">
        <v>180</v>
      </c>
    </row>
    <row r="17" spans="1:4" ht="20.25" customHeight="1">
      <c r="A17" s="5" t="s">
        <v>52</v>
      </c>
      <c r="B17" s="5" t="s">
        <v>120</v>
      </c>
      <c r="C17" s="5" t="s">
        <v>121</v>
      </c>
      <c r="D17" s="5" t="s">
        <v>180</v>
      </c>
    </row>
    <row r="18" spans="1:4" ht="20.25" customHeight="1">
      <c r="A18" s="21" t="s">
        <v>181</v>
      </c>
      <c r="B18" s="22" t="s">
        <v>123</v>
      </c>
      <c r="C18" s="22" t="s">
        <v>182</v>
      </c>
      <c r="D18" s="22" t="s">
        <v>183</v>
      </c>
    </row>
    <row r="19" spans="1:4" ht="20.25" customHeight="1">
      <c r="A19" s="23" t="s">
        <v>181</v>
      </c>
      <c r="B19" s="24" t="s">
        <v>126</v>
      </c>
      <c r="C19" s="24" t="s">
        <v>184</v>
      </c>
      <c r="D19" s="24" t="s">
        <v>185</v>
      </c>
    </row>
    <row r="20" spans="1:4" ht="20.25" customHeight="1">
      <c r="A20" s="21" t="s">
        <v>181</v>
      </c>
      <c r="B20" s="22" t="s">
        <v>129</v>
      </c>
      <c r="C20" s="22" t="s">
        <v>186</v>
      </c>
      <c r="D20" s="22" t="s">
        <v>187</v>
      </c>
    </row>
    <row r="21" spans="1:4" ht="20.25" customHeight="1">
      <c r="A21" s="5" t="s">
        <v>188</v>
      </c>
      <c r="B21" s="5" t="s">
        <v>189</v>
      </c>
      <c r="C21" s="5" t="s">
        <v>190</v>
      </c>
      <c r="D21" s="5" t="s">
        <v>191</v>
      </c>
    </row>
    <row r="22" spans="1:4" ht="20.25" customHeight="1">
      <c r="A22" s="20" t="s">
        <v>188</v>
      </c>
      <c r="B22" s="20" t="s">
        <v>192</v>
      </c>
      <c r="C22" s="20" t="s">
        <v>193</v>
      </c>
      <c r="D22" s="20" t="s">
        <v>194</v>
      </c>
    </row>
    <row r="23" spans="1:4" ht="20.25" customHeight="1">
      <c r="A23" s="5" t="s">
        <v>188</v>
      </c>
      <c r="B23" s="5" t="s">
        <v>195</v>
      </c>
      <c r="C23" s="5" t="s">
        <v>196</v>
      </c>
      <c r="D23" s="5" t="s">
        <v>197</v>
      </c>
    </row>
    <row r="24" spans="1:4" ht="20.25" customHeight="1">
      <c r="A24" s="20" t="s">
        <v>198</v>
      </c>
      <c r="B24" s="20" t="s">
        <v>199</v>
      </c>
      <c r="C24" s="20" t="s">
        <v>200</v>
      </c>
      <c r="D24" s="20" t="s">
        <v>201</v>
      </c>
    </row>
    <row r="25" spans="1:4" ht="20.25" customHeight="1">
      <c r="A25" s="5" t="s">
        <v>202</v>
      </c>
      <c r="B25" s="5" t="s">
        <v>141</v>
      </c>
      <c r="C25" s="5" t="s">
        <v>203</v>
      </c>
      <c r="D25" s="5" t="s">
        <v>204</v>
      </c>
    </row>
    <row r="26" spans="1:4" ht="20.25" customHeight="1">
      <c r="A26" s="20" t="s">
        <v>205</v>
      </c>
      <c r="B26" s="20" t="s">
        <v>145</v>
      </c>
      <c r="C26" s="20" t="s">
        <v>206</v>
      </c>
      <c r="D26" s="20" t="s">
        <v>207</v>
      </c>
    </row>
    <row r="27" spans="1:4" ht="20.25" customHeight="1"/>
    <row r="28" spans="1:4" ht="20.25" customHeight="1">
      <c r="A28" s="62" t="s">
        <v>208</v>
      </c>
      <c r="B28" s="62"/>
      <c r="C28" s="62"/>
      <c r="D28" s="62"/>
    </row>
    <row r="29" spans="1:4" ht="20.25" customHeight="1">
      <c r="A29" s="25" t="s">
        <v>77</v>
      </c>
      <c r="B29" s="25" t="s">
        <v>78</v>
      </c>
      <c r="C29" s="25" t="s">
        <v>149</v>
      </c>
    </row>
    <row r="30" spans="1:4" ht="20.25" customHeight="1">
      <c r="A30" s="18" t="s">
        <v>79</v>
      </c>
      <c r="B30" s="18">
        <f>COUNTA(Sheet1!A2:A51)</f>
        <v>50</v>
      </c>
      <c r="C30" s="18" t="s">
        <v>209</v>
      </c>
    </row>
    <row r="31" spans="1:4" ht="20.25" customHeight="1">
      <c r="A31" s="5" t="s">
        <v>80</v>
      </c>
      <c r="B31" s="5" cm="1">
        <f t="array" ref="B31">SUMPRODUCT(1/COUNTIF(Sheet1!A2:A51,Sheet1!A2:A51))</f>
        <v>7.9999999999999982</v>
      </c>
      <c r="C31" s="5" t="s">
        <v>210</v>
      </c>
    </row>
    <row r="32" spans="1:4" ht="20.25" customHeight="1">
      <c r="A32" s="18" t="s">
        <v>81</v>
      </c>
      <c r="B32" s="18" cm="1">
        <f t="array" ref="B32">SUMPRODUCT((Sheet1!C2:C51&lt;&gt;"")*(1/COUNTIF(Sheet1!C2:C51,Sheet1!C2:C51&amp;"")))</f>
        <v>5.9999999999999964</v>
      </c>
      <c r="C32" s="18" t="s">
        <v>211</v>
      </c>
    </row>
    <row r="33" spans="1:3" ht="20.25" customHeight="1">
      <c r="A33" s="5" t="s">
        <v>82</v>
      </c>
      <c r="B33" s="5">
        <f>COUNTBLANK(Sheet1!C2:C51)</f>
        <v>2</v>
      </c>
      <c r="C33" s="5" t="s">
        <v>212</v>
      </c>
    </row>
    <row r="34" spans="1:3" ht="20.25" customHeight="1">
      <c r="A34" s="18" t="s">
        <v>83</v>
      </c>
      <c r="B34" s="26">
        <f>SUM(Sheet1!D2:D51)</f>
        <v>132124</v>
      </c>
      <c r="C34" s="18" t="s">
        <v>213</v>
      </c>
    </row>
    <row r="35" spans="1:3" ht="20.25" customHeight="1">
      <c r="A35" s="5" t="s">
        <v>214</v>
      </c>
      <c r="B35" s="27">
        <f>SUM(Sheet1!F2:F51)</f>
        <v>10895443.509999998</v>
      </c>
      <c r="C35" s="5" t="s">
        <v>215</v>
      </c>
    </row>
    <row r="36" spans="1:3" ht="20.25" customHeight="1">
      <c r="A36" s="18" t="s">
        <v>84</v>
      </c>
      <c r="B36" s="28">
        <f>AVERAGE(Sheet1!E2:E51)</f>
        <v>120.67439999999999</v>
      </c>
      <c r="C36" s="18" t="s">
        <v>216</v>
      </c>
    </row>
    <row r="37" spans="1:3" ht="20.25" customHeight="1">
      <c r="A37" s="5" t="s">
        <v>85</v>
      </c>
      <c r="B37" s="27">
        <f>MAX(Sheet1!E2:E51)</f>
        <v>892.75</v>
      </c>
      <c r="C37" s="5" t="s">
        <v>217</v>
      </c>
    </row>
    <row r="38" spans="1:3" ht="20.25" customHeight="1">
      <c r="A38" s="18" t="s">
        <v>86</v>
      </c>
      <c r="B38" s="28">
        <f>MIN(Sheet1!E2:E51)</f>
        <v>9.8000000000000007</v>
      </c>
      <c r="C38" s="18" t="s">
        <v>218</v>
      </c>
    </row>
    <row r="39" spans="1:3" ht="20.25" customHeight="1">
      <c r="A39" s="5" t="s">
        <v>87</v>
      </c>
      <c r="B39" s="5">
        <f>COUNTIF(Sheet1!G2:G51,"Urgent review required")</f>
        <v>11</v>
      </c>
      <c r="C39" s="5" t="s">
        <v>219</v>
      </c>
    </row>
    <row r="40" spans="1:3" ht="20.25" customHeight="1">
      <c r="A40" s="18" t="s">
        <v>88</v>
      </c>
      <c r="B40" s="18">
        <f>COUNTIF(Sheet1!G2:G51,"Bulk discount applied")</f>
        <v>14</v>
      </c>
      <c r="C40" s="18" t="s">
        <v>220</v>
      </c>
    </row>
    <row r="41" spans="1:3" ht="20.25" customHeight="1">
      <c r="A41" s="5" t="s">
        <v>89</v>
      </c>
      <c r="B41" s="5">
        <f>COUNTIF(Sheet1!G2:G51,"Check supplier pricing")</f>
        <v>12</v>
      </c>
      <c r="C41" s="5" t="s">
        <v>221</v>
      </c>
    </row>
  </sheetData>
  <mergeCells count="5">
    <mergeCell ref="A1:D1"/>
    <mergeCell ref="A2:D2"/>
    <mergeCell ref="A4:D4"/>
    <mergeCell ref="A14:D14"/>
    <mergeCell ref="A28:D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5AF0-2F29-4F39-9978-F4696D9D3B2E}">
  <dimension ref="A1:D34"/>
  <sheetViews>
    <sheetView workbookViewId="0">
      <selection sqref="A1:D7"/>
    </sheetView>
  </sheetViews>
  <sheetFormatPr defaultRowHeight="15"/>
  <cols>
    <col min="1" max="1" width="34.28515625" customWidth="1"/>
    <col min="2" max="2" width="19" customWidth="1"/>
    <col min="3" max="4" width="57.140625" customWidth="1"/>
  </cols>
  <sheetData>
    <row r="1" spans="1:4" ht="18.75">
      <c r="A1" s="54" t="s">
        <v>222</v>
      </c>
      <c r="B1" s="54"/>
      <c r="C1" s="54"/>
      <c r="D1" s="54"/>
    </row>
    <row r="2" spans="1:4">
      <c r="A2" s="55" t="s">
        <v>223</v>
      </c>
      <c r="B2" s="55"/>
      <c r="C2" s="55"/>
      <c r="D2" s="55"/>
    </row>
    <row r="3" spans="1:4" ht="30.75">
      <c r="A3" s="14" t="s">
        <v>224</v>
      </c>
    </row>
    <row r="4" spans="1:4" ht="15.75">
      <c r="A4" s="56" t="s">
        <v>225</v>
      </c>
      <c r="B4" s="56"/>
      <c r="C4" s="56"/>
      <c r="D4" s="56"/>
    </row>
    <row r="5" spans="1:4" ht="30.75">
      <c r="A5" s="41" t="s">
        <v>226</v>
      </c>
      <c r="B5" s="29" t="s">
        <v>35</v>
      </c>
      <c r="C5" s="29" t="s">
        <v>94</v>
      </c>
      <c r="D5" s="29" t="s">
        <v>95</v>
      </c>
    </row>
    <row r="6" spans="1:4" ht="30.75">
      <c r="A6" s="30" t="s">
        <v>227</v>
      </c>
      <c r="B6" s="30" t="s">
        <v>37</v>
      </c>
      <c r="C6" s="30" t="s">
        <v>228</v>
      </c>
      <c r="D6" s="30" t="s">
        <v>229</v>
      </c>
    </row>
    <row r="7" spans="1:4" ht="30.75">
      <c r="A7" s="31" t="s">
        <v>230</v>
      </c>
      <c r="B7" s="31" t="s">
        <v>37</v>
      </c>
      <c r="C7" s="31" t="s">
        <v>231</v>
      </c>
      <c r="D7" s="31" t="s">
        <v>232</v>
      </c>
    </row>
    <row r="8" spans="1:4" ht="30.75">
      <c r="A8" s="30" t="s">
        <v>2</v>
      </c>
      <c r="B8" s="30" t="s">
        <v>37</v>
      </c>
      <c r="C8" s="30" t="s">
        <v>174</v>
      </c>
      <c r="D8" s="30" t="s">
        <v>101</v>
      </c>
    </row>
    <row r="9" spans="1:4">
      <c r="A9" s="31" t="s">
        <v>3</v>
      </c>
      <c r="B9" s="31" t="s">
        <v>102</v>
      </c>
      <c r="C9" s="31" t="s">
        <v>103</v>
      </c>
      <c r="D9" s="31" t="s">
        <v>104</v>
      </c>
    </row>
    <row r="10" spans="1:4" ht="30.75">
      <c r="A10" s="30" t="s">
        <v>4</v>
      </c>
      <c r="B10" s="30" t="s">
        <v>43</v>
      </c>
      <c r="C10" s="30" t="s">
        <v>106</v>
      </c>
      <c r="D10" s="30" t="s">
        <v>233</v>
      </c>
    </row>
    <row r="11" spans="1:4" ht="30.75">
      <c r="A11" s="31" t="s">
        <v>5</v>
      </c>
      <c r="B11" s="31" t="s">
        <v>43</v>
      </c>
      <c r="C11" s="31" t="s">
        <v>234</v>
      </c>
      <c r="D11" s="31" t="s">
        <v>235</v>
      </c>
    </row>
    <row r="12" spans="1:4" ht="30.75">
      <c r="A12" s="30" t="s">
        <v>6</v>
      </c>
      <c r="B12" s="30" t="s">
        <v>110</v>
      </c>
      <c r="C12" s="30" t="s">
        <v>236</v>
      </c>
      <c r="D12" s="30" t="s">
        <v>237</v>
      </c>
    </row>
    <row r="14" spans="1:4" ht="15.75">
      <c r="A14" s="61" t="s">
        <v>178</v>
      </c>
      <c r="B14" s="61"/>
      <c r="C14" s="61"/>
      <c r="D14" s="61"/>
    </row>
    <row r="15" spans="1:4">
      <c r="A15" s="32" t="s">
        <v>48</v>
      </c>
      <c r="B15" s="32" t="s">
        <v>49</v>
      </c>
      <c r="C15" s="32" t="s">
        <v>50</v>
      </c>
      <c r="D15" s="32" t="s">
        <v>179</v>
      </c>
    </row>
    <row r="16" spans="1:4">
      <c r="A16" s="33" t="s">
        <v>52</v>
      </c>
      <c r="B16" s="33" t="s">
        <v>117</v>
      </c>
      <c r="C16" s="33" t="s">
        <v>118</v>
      </c>
      <c r="D16" s="33" t="s">
        <v>238</v>
      </c>
    </row>
    <row r="17" spans="1:4">
      <c r="A17" s="31" t="s">
        <v>52</v>
      </c>
      <c r="B17" s="31" t="s">
        <v>120</v>
      </c>
      <c r="C17" s="31" t="s">
        <v>121</v>
      </c>
      <c r="D17" s="31" t="s">
        <v>238</v>
      </c>
    </row>
    <row r="18" spans="1:4">
      <c r="A18" s="33" t="s">
        <v>181</v>
      </c>
      <c r="B18" s="33" t="s">
        <v>123</v>
      </c>
      <c r="C18" s="33" t="s">
        <v>182</v>
      </c>
      <c r="D18" s="33" t="s">
        <v>239</v>
      </c>
    </row>
    <row r="19" spans="1:4">
      <c r="A19" s="31" t="s">
        <v>181</v>
      </c>
      <c r="B19" s="31" t="s">
        <v>126</v>
      </c>
      <c r="C19" s="31" t="s">
        <v>184</v>
      </c>
      <c r="D19" s="31" t="s">
        <v>240</v>
      </c>
    </row>
    <row r="20" spans="1:4">
      <c r="A20" s="33" t="s">
        <v>181</v>
      </c>
      <c r="B20" s="33" t="s">
        <v>129</v>
      </c>
      <c r="C20" s="33" t="s">
        <v>186</v>
      </c>
      <c r="D20" s="33" t="s">
        <v>241</v>
      </c>
    </row>
    <row r="21" spans="1:4" ht="30.75">
      <c r="A21" s="31" t="s">
        <v>188</v>
      </c>
      <c r="B21" s="31" t="s">
        <v>133</v>
      </c>
      <c r="C21" s="31" t="s">
        <v>242</v>
      </c>
      <c r="D21" s="31" t="s">
        <v>243</v>
      </c>
    </row>
    <row r="22" spans="1:4">
      <c r="A22" s="33" t="s">
        <v>198</v>
      </c>
      <c r="B22" s="33" t="s">
        <v>199</v>
      </c>
      <c r="C22" s="33" t="s">
        <v>244</v>
      </c>
      <c r="D22" s="33" t="s">
        <v>201</v>
      </c>
    </row>
    <row r="23" spans="1:4">
      <c r="A23" s="31" t="s">
        <v>202</v>
      </c>
      <c r="B23" s="31" t="s">
        <v>141</v>
      </c>
      <c r="C23" s="31" t="s">
        <v>245</v>
      </c>
      <c r="D23" s="31" t="s">
        <v>246</v>
      </c>
    </row>
    <row r="24" spans="1:4">
      <c r="A24" s="33" t="s">
        <v>205</v>
      </c>
      <c r="B24" s="33" t="s">
        <v>145</v>
      </c>
      <c r="C24" s="33" t="s">
        <v>206</v>
      </c>
      <c r="D24" s="33" t="s">
        <v>207</v>
      </c>
    </row>
    <row r="26" spans="1:4" ht="15.75">
      <c r="A26" s="63" t="s">
        <v>247</v>
      </c>
      <c r="B26" s="63"/>
      <c r="C26" s="63"/>
      <c r="D26" s="63"/>
    </row>
    <row r="27" spans="1:4">
      <c r="A27" s="34" t="s">
        <v>77</v>
      </c>
      <c r="B27" s="34" t="s">
        <v>78</v>
      </c>
      <c r="C27" s="34" t="s">
        <v>149</v>
      </c>
    </row>
    <row r="28" spans="1:4">
      <c r="A28" s="35" t="s">
        <v>79</v>
      </c>
      <c r="B28" s="35">
        <f>COUNTA(Sheet1!A2:A51)</f>
        <v>50</v>
      </c>
      <c r="C28" s="35" t="s">
        <v>209</v>
      </c>
    </row>
    <row r="29" spans="1:4">
      <c r="A29" s="8" t="s">
        <v>82</v>
      </c>
      <c r="B29" s="8">
        <f>COUNTBLANK(Sheet1!C2:C51)</f>
        <v>2</v>
      </c>
      <c r="C29" s="8" t="s">
        <v>212</v>
      </c>
    </row>
    <row r="30" spans="1:4">
      <c r="A30" s="35" t="s">
        <v>248</v>
      </c>
      <c r="B30" s="35">
        <f>COUNTBLANK(Sheet1!G2:G51)</f>
        <v>13</v>
      </c>
      <c r="C30" s="35" t="s">
        <v>249</v>
      </c>
    </row>
    <row r="31" spans="1:4">
      <c r="A31" s="8" t="s">
        <v>250</v>
      </c>
      <c r="B31" s="8">
        <v>3</v>
      </c>
      <c r="C31" s="8" t="s">
        <v>251</v>
      </c>
    </row>
    <row r="32" spans="1:4">
      <c r="A32" s="35" t="s">
        <v>214</v>
      </c>
      <c r="B32" s="36">
        <f>SUM(Sheet1!F2:F51)</f>
        <v>10895443.509999998</v>
      </c>
      <c r="C32" s="35" t="s">
        <v>215</v>
      </c>
    </row>
    <row r="33" spans="1:3">
      <c r="A33" s="8" t="s">
        <v>85</v>
      </c>
      <c r="B33" s="9">
        <f>MAX(Sheet1!E2:E51)</f>
        <v>892.75</v>
      </c>
      <c r="C33" s="8" t="s">
        <v>217</v>
      </c>
    </row>
    <row r="34" spans="1:3">
      <c r="A34" s="35" t="s">
        <v>86</v>
      </c>
      <c r="B34" s="36">
        <f>MIN(Sheet1!E2:E51)</f>
        <v>9.8000000000000007</v>
      </c>
      <c r="C34" s="35" t="s">
        <v>218</v>
      </c>
    </row>
  </sheetData>
  <mergeCells count="5">
    <mergeCell ref="A1:D1"/>
    <mergeCell ref="A2:D2"/>
    <mergeCell ref="A4:D4"/>
    <mergeCell ref="A14:D14"/>
    <mergeCell ref="A26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3E6D-4FF5-4476-9B91-14BA6D48E89C}">
  <dimension ref="A1:D1"/>
  <sheetViews>
    <sheetView workbookViewId="0">
      <selection sqref="A1:D1"/>
    </sheetView>
  </sheetViews>
  <sheetFormatPr defaultRowHeight="15"/>
  <sheetData>
    <row r="1" spans="1:4">
      <c r="A1" s="64"/>
      <c r="B1" s="64"/>
      <c r="C1" s="64"/>
      <c r="D1" s="64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1C1B-56E9-4FE4-8ECD-E6A9F25E3B8E}">
  <dimension ref="A1:D12"/>
  <sheetViews>
    <sheetView workbookViewId="0">
      <selection sqref="A1:D1"/>
    </sheetView>
  </sheetViews>
  <sheetFormatPr defaultRowHeight="15"/>
  <sheetData>
    <row r="1" spans="1:4" ht="18.75">
      <c r="A1" s="57" t="s">
        <v>90</v>
      </c>
      <c r="B1" s="57"/>
      <c r="C1" s="57"/>
      <c r="D1" s="57"/>
    </row>
    <row r="2" spans="1:4">
      <c r="A2" s="65" t="s">
        <v>252</v>
      </c>
      <c r="B2" s="65"/>
      <c r="C2" s="65"/>
      <c r="D2" s="65"/>
    </row>
    <row r="4" spans="1:4" ht="15.75">
      <c r="A4" s="66" t="s">
        <v>171</v>
      </c>
      <c r="B4" s="66"/>
      <c r="C4" s="66"/>
      <c r="D4" s="66"/>
    </row>
    <row r="5" spans="1:4">
      <c r="A5" s="42" t="s">
        <v>93</v>
      </c>
      <c r="B5" s="42" t="s">
        <v>35</v>
      </c>
      <c r="C5" s="42" t="s">
        <v>94</v>
      </c>
      <c r="D5" s="42" t="s">
        <v>95</v>
      </c>
    </row>
    <row r="6" spans="1:4" ht="183">
      <c r="A6" s="43" t="s">
        <v>0</v>
      </c>
      <c r="B6" s="43" t="s">
        <v>37</v>
      </c>
      <c r="C6" s="43" t="s">
        <v>228</v>
      </c>
      <c r="D6" s="43" t="s">
        <v>229</v>
      </c>
    </row>
    <row r="7" spans="1:4" ht="167.25">
      <c r="A7" s="43" t="s">
        <v>1</v>
      </c>
      <c r="B7" s="43" t="s">
        <v>37</v>
      </c>
      <c r="C7" s="43" t="s">
        <v>253</v>
      </c>
      <c r="D7" s="43" t="s">
        <v>232</v>
      </c>
    </row>
    <row r="8" spans="1:4" ht="183">
      <c r="A8" s="43" t="s">
        <v>2</v>
      </c>
      <c r="B8" s="43" t="s">
        <v>37</v>
      </c>
      <c r="C8" s="43" t="s">
        <v>254</v>
      </c>
      <c r="D8" s="43" t="s">
        <v>101</v>
      </c>
    </row>
    <row r="9" spans="1:4" ht="137.25">
      <c r="A9" s="43" t="s">
        <v>3</v>
      </c>
      <c r="B9" s="43" t="s">
        <v>102</v>
      </c>
      <c r="C9" s="43" t="s">
        <v>103</v>
      </c>
      <c r="D9" s="43" t="s">
        <v>104</v>
      </c>
    </row>
    <row r="10" spans="1:4" ht="167.25">
      <c r="A10" s="43" t="s">
        <v>4</v>
      </c>
      <c r="B10" s="43" t="s">
        <v>43</v>
      </c>
      <c r="C10" s="43" t="s">
        <v>106</v>
      </c>
      <c r="D10" s="43" t="s">
        <v>233</v>
      </c>
    </row>
    <row r="11" spans="1:4" ht="152.25">
      <c r="A11" s="43" t="s">
        <v>5</v>
      </c>
      <c r="B11" s="43" t="s">
        <v>43</v>
      </c>
      <c r="C11" s="43" t="s">
        <v>234</v>
      </c>
      <c r="D11" s="43" t="s">
        <v>235</v>
      </c>
    </row>
    <row r="12" spans="1:4" ht="152.25">
      <c r="A12" s="43" t="s">
        <v>6</v>
      </c>
      <c r="B12" s="43" t="s">
        <v>110</v>
      </c>
      <c r="C12" s="43" t="s">
        <v>236</v>
      </c>
      <c r="D12" s="43" t="s">
        <v>237</v>
      </c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7764-747B-44C7-8D9B-F73900FAFA81}">
  <dimension ref="A1:D37"/>
  <sheetViews>
    <sheetView tabSelected="1" topLeftCell="A28" workbookViewId="0">
      <selection activeCell="A28" sqref="A28"/>
    </sheetView>
  </sheetViews>
  <sheetFormatPr defaultRowHeight="15"/>
  <cols>
    <col min="1" max="1" width="52.28515625" customWidth="1"/>
    <col min="2" max="2" width="14.42578125" bestFit="1" customWidth="1"/>
  </cols>
  <sheetData>
    <row r="1" spans="1:4" ht="18.75">
      <c r="A1" s="44" t="s">
        <v>90</v>
      </c>
    </row>
    <row r="2" spans="1:4">
      <c r="A2" s="38" t="s">
        <v>252</v>
      </c>
    </row>
    <row r="4" spans="1:4" ht="15.75">
      <c r="A4" s="39" t="s">
        <v>171</v>
      </c>
    </row>
    <row r="5" spans="1:4">
      <c r="A5" s="42" t="s">
        <v>93</v>
      </c>
      <c r="B5" s="42" t="s">
        <v>35</v>
      </c>
      <c r="C5" s="42" t="s">
        <v>94</v>
      </c>
      <c r="D5" s="42" t="s">
        <v>95</v>
      </c>
    </row>
    <row r="6" spans="1:4" ht="152.25">
      <c r="A6" s="14" t="s">
        <v>0</v>
      </c>
      <c r="B6" s="14" t="s">
        <v>37</v>
      </c>
      <c r="C6" s="14" t="s">
        <v>172</v>
      </c>
      <c r="D6" s="14" t="s">
        <v>255</v>
      </c>
    </row>
    <row r="7" spans="1:4" ht="152.25">
      <c r="A7" s="14" t="s">
        <v>1</v>
      </c>
      <c r="B7" s="14" t="s">
        <v>37</v>
      </c>
      <c r="C7" s="14" t="s">
        <v>256</v>
      </c>
      <c r="D7" s="14" t="s">
        <v>257</v>
      </c>
    </row>
    <row r="8" spans="1:4" ht="137.25">
      <c r="A8" s="14" t="s">
        <v>2</v>
      </c>
      <c r="B8" s="14" t="s">
        <v>37</v>
      </c>
      <c r="C8" s="14" t="s">
        <v>258</v>
      </c>
      <c r="D8" s="14" t="s">
        <v>259</v>
      </c>
    </row>
    <row r="9" spans="1:4" ht="91.5">
      <c r="A9" s="14" t="s">
        <v>3</v>
      </c>
      <c r="B9" s="14" t="s">
        <v>102</v>
      </c>
      <c r="C9" s="14" t="s">
        <v>103</v>
      </c>
      <c r="D9" s="14" t="s">
        <v>260</v>
      </c>
    </row>
    <row r="10" spans="1:4" ht="106.5">
      <c r="A10" s="14" t="s">
        <v>4</v>
      </c>
      <c r="B10" s="14" t="s">
        <v>43</v>
      </c>
      <c r="C10" s="14" t="s">
        <v>261</v>
      </c>
      <c r="D10" s="14" t="s">
        <v>262</v>
      </c>
    </row>
    <row r="11" spans="1:4" ht="106.5">
      <c r="A11" s="14" t="s">
        <v>5</v>
      </c>
      <c r="B11" s="14" t="s">
        <v>43</v>
      </c>
      <c r="C11" s="14" t="s">
        <v>263</v>
      </c>
      <c r="D11" s="14" t="s">
        <v>264</v>
      </c>
    </row>
    <row r="12" spans="1:4" ht="121.5">
      <c r="A12" s="14" t="s">
        <v>6</v>
      </c>
      <c r="B12" s="14" t="s">
        <v>110</v>
      </c>
      <c r="C12" s="14" t="s">
        <v>265</v>
      </c>
      <c r="D12" s="14" t="s">
        <v>266</v>
      </c>
    </row>
    <row r="14" spans="1:4" ht="15.75">
      <c r="A14" s="37" t="s">
        <v>267</v>
      </c>
    </row>
    <row r="15" spans="1:4">
      <c r="A15" s="45" t="s">
        <v>48</v>
      </c>
      <c r="B15" s="45" t="s">
        <v>49</v>
      </c>
      <c r="C15" s="45" t="s">
        <v>50</v>
      </c>
      <c r="D15" s="45" t="s">
        <v>268</v>
      </c>
    </row>
    <row r="16" spans="1:4" ht="76.5">
      <c r="A16" s="14" t="s">
        <v>52</v>
      </c>
      <c r="B16" s="14" t="s">
        <v>117</v>
      </c>
      <c r="C16" s="14" t="s">
        <v>269</v>
      </c>
      <c r="D16" s="14" t="s">
        <v>270</v>
      </c>
    </row>
    <row r="17" spans="1:4" ht="60.75">
      <c r="A17" s="14" t="s">
        <v>52</v>
      </c>
      <c r="B17" s="14" t="s">
        <v>120</v>
      </c>
      <c r="C17" s="14" t="s">
        <v>271</v>
      </c>
      <c r="D17" s="14" t="s">
        <v>270</v>
      </c>
    </row>
    <row r="18" spans="1:4" ht="76.5">
      <c r="A18" s="14" t="s">
        <v>272</v>
      </c>
      <c r="B18" s="14" t="s">
        <v>123</v>
      </c>
      <c r="C18" s="14" t="s">
        <v>273</v>
      </c>
      <c r="D18" s="14" t="s">
        <v>274</v>
      </c>
    </row>
    <row r="19" spans="1:4" ht="76.5">
      <c r="A19" s="14" t="s">
        <v>272</v>
      </c>
      <c r="B19" s="14" t="s">
        <v>126</v>
      </c>
      <c r="C19" s="14" t="s">
        <v>275</v>
      </c>
      <c r="D19" s="14" t="s">
        <v>274</v>
      </c>
    </row>
    <row r="20" spans="1:4" ht="76.5">
      <c r="A20" s="14" t="s">
        <v>272</v>
      </c>
      <c r="B20" s="14" t="s">
        <v>129</v>
      </c>
      <c r="C20" s="14" t="s">
        <v>276</v>
      </c>
      <c r="D20" s="14" t="s">
        <v>274</v>
      </c>
    </row>
    <row r="21" spans="1:4" ht="76.5">
      <c r="A21" s="14" t="s">
        <v>188</v>
      </c>
      <c r="B21" s="14" t="s">
        <v>277</v>
      </c>
      <c r="C21" s="14" t="s">
        <v>278</v>
      </c>
      <c r="D21" s="14" t="s">
        <v>279</v>
      </c>
    </row>
    <row r="22" spans="1:4" ht="60.75">
      <c r="A22" s="14" t="s">
        <v>280</v>
      </c>
      <c r="B22" s="14" t="s">
        <v>73</v>
      </c>
      <c r="C22" s="14" t="s">
        <v>281</v>
      </c>
      <c r="D22" s="14" t="s">
        <v>282</v>
      </c>
    </row>
    <row r="23" spans="1:4" ht="76.5">
      <c r="A23" s="14" t="s">
        <v>202</v>
      </c>
      <c r="B23" s="14" t="s">
        <v>73</v>
      </c>
      <c r="C23" s="14" t="s">
        <v>283</v>
      </c>
      <c r="D23" s="14" t="s">
        <v>284</v>
      </c>
    </row>
    <row r="24" spans="1:4" ht="76.5">
      <c r="A24" s="14" t="s">
        <v>205</v>
      </c>
      <c r="B24" s="14" t="s">
        <v>145</v>
      </c>
      <c r="C24" s="46" t="s">
        <v>285</v>
      </c>
      <c r="D24" s="14" t="s">
        <v>286</v>
      </c>
    </row>
    <row r="26" spans="1:4" ht="15.75">
      <c r="A26" s="40" t="s">
        <v>208</v>
      </c>
    </row>
    <row r="27" spans="1:4">
      <c r="A27" s="47" t="s">
        <v>77</v>
      </c>
      <c r="B27" s="47" t="s">
        <v>78</v>
      </c>
      <c r="C27" s="47" t="s">
        <v>287</v>
      </c>
    </row>
    <row r="28" spans="1:4">
      <c r="A28" t="s">
        <v>79</v>
      </c>
      <c r="B28">
        <f>COUNTA(Sheet1!A2:A51)</f>
        <v>50</v>
      </c>
    </row>
    <row r="29" spans="1:4">
      <c r="A29" t="s">
        <v>82</v>
      </c>
      <c r="B29">
        <f>COUNTBLANK(Sheet1!C2:C51)</f>
        <v>2</v>
      </c>
    </row>
    <row r="30" spans="1:4">
      <c r="A30" t="s">
        <v>248</v>
      </c>
      <c r="B30">
        <f>COUNTBLANK(Sheet1!G2:G51)</f>
        <v>13</v>
      </c>
    </row>
    <row r="31" spans="1:4">
      <c r="A31" t="s">
        <v>214</v>
      </c>
      <c r="B31" s="48">
        <f>SUM(Sheet1!F2:F51)</f>
        <v>10895443.509999998</v>
      </c>
    </row>
    <row r="32" spans="1:4">
      <c r="A32" t="s">
        <v>83</v>
      </c>
      <c r="B32" s="49">
        <f>SUM(Sheet1!D2:D51)</f>
        <v>132124</v>
      </c>
    </row>
    <row r="33" spans="1:2">
      <c r="A33" t="s">
        <v>84</v>
      </c>
      <c r="B33" s="48">
        <f>AVERAGE(Sheet1!E2:E51)</f>
        <v>120.67439999999999</v>
      </c>
    </row>
    <row r="34" spans="1:2">
      <c r="A34" t="s">
        <v>85</v>
      </c>
      <c r="B34" s="48">
        <f>MAX(Sheet1!E2:E51)</f>
        <v>892.75</v>
      </c>
    </row>
    <row r="35" spans="1:2">
      <c r="A35" t="s">
        <v>86</v>
      </c>
      <c r="B35" s="48">
        <f>MIN(Sheet1!E2:E51)</f>
        <v>9.8000000000000007</v>
      </c>
    </row>
    <row r="36" spans="1:2">
      <c r="A36" t="s">
        <v>288</v>
      </c>
      <c r="B36">
        <f>COUNTIF(Sheet1!G2:G51,"Urgent review required")</f>
        <v>11</v>
      </c>
    </row>
    <row r="37" spans="1:2">
      <c r="A37" t="s">
        <v>289</v>
      </c>
      <c r="B37" cm="1">
        <f t="array" ref="B37">SUMPRODUCT((ROUND(Sheet1!D2:D51*Sheet1!E2:E51,2)&lt;&gt;Sheet1!F2:F51)*1)</f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5E95-28EF-4074-8CFF-6BE4B045A9A7}">
  <dimension ref="A1:D37"/>
  <sheetViews>
    <sheetView topLeftCell="A16" workbookViewId="0"/>
  </sheetViews>
  <sheetFormatPr defaultRowHeight="15"/>
  <cols>
    <col min="1" max="1" width="30.42578125" customWidth="1"/>
    <col min="2" max="2" width="24.7109375" customWidth="1"/>
    <col min="3" max="3" width="41.85546875" customWidth="1"/>
    <col min="4" max="4" width="34.28515625" customWidth="1"/>
  </cols>
  <sheetData>
    <row r="1" spans="1:4" ht="18.75">
      <c r="A1" s="44" t="s">
        <v>90</v>
      </c>
    </row>
    <row r="2" spans="1:4">
      <c r="A2" s="38" t="s">
        <v>252</v>
      </c>
    </row>
    <row r="4" spans="1:4" ht="15.75">
      <c r="A4" s="39" t="s">
        <v>171</v>
      </c>
    </row>
    <row r="5" spans="1:4">
      <c r="A5" s="42" t="s">
        <v>93</v>
      </c>
      <c r="B5" s="42" t="s">
        <v>35</v>
      </c>
      <c r="C5" s="42" t="s">
        <v>94</v>
      </c>
      <c r="D5" s="42" t="s">
        <v>95</v>
      </c>
    </row>
    <row r="6" spans="1:4" ht="106.5">
      <c r="A6" s="14" t="s">
        <v>0</v>
      </c>
      <c r="B6" s="14" t="s">
        <v>37</v>
      </c>
      <c r="C6" s="14" t="s">
        <v>96</v>
      </c>
      <c r="D6" s="14" t="s">
        <v>255</v>
      </c>
    </row>
    <row r="7" spans="1:4" ht="76.5">
      <c r="A7" s="14" t="s">
        <v>1</v>
      </c>
      <c r="B7" s="14" t="s">
        <v>37</v>
      </c>
      <c r="C7" s="14" t="s">
        <v>290</v>
      </c>
      <c r="D7" s="14" t="s">
        <v>257</v>
      </c>
    </row>
    <row r="8" spans="1:4" ht="76.5">
      <c r="A8" s="14" t="s">
        <v>2</v>
      </c>
      <c r="B8" s="14" t="s">
        <v>37</v>
      </c>
      <c r="C8" s="14" t="s">
        <v>291</v>
      </c>
      <c r="D8" s="14" t="s">
        <v>259</v>
      </c>
    </row>
    <row r="9" spans="1:4" ht="76.5">
      <c r="A9" s="14" t="s">
        <v>3</v>
      </c>
      <c r="B9" s="14" t="s">
        <v>102</v>
      </c>
      <c r="C9" s="14" t="s">
        <v>292</v>
      </c>
      <c r="D9" s="14" t="s">
        <v>260</v>
      </c>
    </row>
    <row r="10" spans="1:4" ht="76.5">
      <c r="A10" s="14" t="s">
        <v>4</v>
      </c>
      <c r="B10" s="14" t="s">
        <v>43</v>
      </c>
      <c r="C10" s="14" t="s">
        <v>293</v>
      </c>
      <c r="D10" s="14" t="s">
        <v>294</v>
      </c>
    </row>
    <row r="11" spans="1:4" ht="76.5">
      <c r="A11" s="14" t="s">
        <v>5</v>
      </c>
      <c r="B11" s="14" t="s">
        <v>43</v>
      </c>
      <c r="C11" s="14" t="s">
        <v>295</v>
      </c>
      <c r="D11" s="14" t="s">
        <v>296</v>
      </c>
    </row>
    <row r="12" spans="1:4" ht="76.5">
      <c r="A12" s="14" t="s">
        <v>6</v>
      </c>
      <c r="B12" s="14" t="s">
        <v>110</v>
      </c>
      <c r="C12" s="14" t="s">
        <v>297</v>
      </c>
      <c r="D12" s="14" t="s">
        <v>266</v>
      </c>
    </row>
    <row r="14" spans="1:4" ht="15.75">
      <c r="A14" s="37" t="s">
        <v>267</v>
      </c>
    </row>
    <row r="15" spans="1:4">
      <c r="A15" s="45" t="s">
        <v>48</v>
      </c>
      <c r="B15" s="45" t="s">
        <v>49</v>
      </c>
      <c r="C15" s="45" t="s">
        <v>50</v>
      </c>
      <c r="D15" s="45" t="s">
        <v>268</v>
      </c>
    </row>
    <row r="16" spans="1:4" ht="76.5">
      <c r="A16" s="14" t="s">
        <v>52</v>
      </c>
      <c r="B16" s="14" t="s">
        <v>117</v>
      </c>
      <c r="C16" s="14" t="s">
        <v>269</v>
      </c>
      <c r="D16" s="14" t="s">
        <v>270</v>
      </c>
    </row>
    <row r="17" spans="1:4" ht="60.75">
      <c r="A17" s="14" t="s">
        <v>52</v>
      </c>
      <c r="B17" s="14" t="s">
        <v>120</v>
      </c>
      <c r="C17" s="14" t="s">
        <v>271</v>
      </c>
      <c r="D17" s="14" t="s">
        <v>270</v>
      </c>
    </row>
    <row r="18" spans="1:4" ht="60.75">
      <c r="A18" s="14" t="s">
        <v>272</v>
      </c>
      <c r="B18" s="14" t="s">
        <v>123</v>
      </c>
      <c r="C18" s="14" t="str">
        <f>"Expected $"&amp;TEXT(Sheet1!D17*Sheet1!E17,"#,##0.00")&amp;" vs Actual $"&amp;TEXT(Sheet1!F17,"#,##0.00")</f>
        <v>Expected $1,904,286.80 vs Actual $245,432.98</v>
      </c>
      <c r="D18" s="14" t="s">
        <v>298</v>
      </c>
    </row>
    <row r="19" spans="1:4" ht="60.75">
      <c r="A19" s="14" t="s">
        <v>272</v>
      </c>
      <c r="B19" s="14" t="s">
        <v>126</v>
      </c>
      <c r="C19" s="14" t="str">
        <f>"Expected $"&amp;TEXT(Sheet1!D24*Sheet1!E24,"#,##0.00")&amp;" vs Actual $"&amp;TEXT(Sheet1!F24,"#,##0.00")</f>
        <v>Expected $1,470,036.92 vs Actual $109,748.26</v>
      </c>
      <c r="D19" s="14" t="s">
        <v>298</v>
      </c>
    </row>
    <row r="20" spans="1:4" ht="60.75">
      <c r="A20" s="14" t="s">
        <v>272</v>
      </c>
      <c r="B20" s="14" t="s">
        <v>129</v>
      </c>
      <c r="C20" s="14" t="str">
        <f>"Expected $"&amp;TEXT(Sheet1!D28*Sheet1!E28,"#,##0.00")&amp;" vs Actual $"&amp;TEXT(Sheet1!F28,"#,##0.00")</f>
        <v>Expected $1,606,950.00 vs Actual $126,882.00</v>
      </c>
      <c r="D20" s="14" t="s">
        <v>298</v>
      </c>
    </row>
    <row r="21" spans="1:4" ht="60.75">
      <c r="A21" s="14" t="s">
        <v>188</v>
      </c>
      <c r="B21" s="14" t="s">
        <v>277</v>
      </c>
      <c r="C21" s="14" t="s">
        <v>299</v>
      </c>
      <c r="D21" s="14" t="s">
        <v>279</v>
      </c>
    </row>
    <row r="22" spans="1:4" ht="45.75">
      <c r="A22" s="14" t="s">
        <v>280</v>
      </c>
      <c r="B22" s="14" t="s">
        <v>73</v>
      </c>
      <c r="C22" s="14" t="s">
        <v>300</v>
      </c>
      <c r="D22" s="14" t="s">
        <v>282</v>
      </c>
    </row>
    <row r="23" spans="1:4" ht="76.5">
      <c r="A23" s="14" t="s">
        <v>202</v>
      </c>
      <c r="B23" s="14" t="s">
        <v>73</v>
      </c>
      <c r="C23" s="14" t="s">
        <v>301</v>
      </c>
      <c r="D23" s="14" t="s">
        <v>284</v>
      </c>
    </row>
    <row r="24" spans="1:4" ht="60.75">
      <c r="A24" s="14" t="s">
        <v>205</v>
      </c>
      <c r="B24" s="14" t="s">
        <v>145</v>
      </c>
      <c r="C24" s="14" t="s">
        <v>302</v>
      </c>
      <c r="D24" s="14" t="s">
        <v>286</v>
      </c>
    </row>
    <row r="26" spans="1:4" ht="15.75">
      <c r="A26" s="40" t="s">
        <v>208</v>
      </c>
    </row>
    <row r="27" spans="1:4">
      <c r="A27" s="47" t="s">
        <v>77</v>
      </c>
      <c r="B27" s="47" t="s">
        <v>78</v>
      </c>
      <c r="C27" s="47" t="s">
        <v>287</v>
      </c>
    </row>
    <row r="28" spans="1:4">
      <c r="A28" t="s">
        <v>79</v>
      </c>
      <c r="B28">
        <f>COUNTA(Sheet1!A2:A51)</f>
        <v>50</v>
      </c>
      <c r="C28" s="50">
        <f>COUNTA(Sheet1!A2:A51)</f>
        <v>50</v>
      </c>
    </row>
    <row r="29" spans="1:4">
      <c r="A29" t="s">
        <v>82</v>
      </c>
      <c r="B29">
        <f>COUNTBLANK(Sheet1!C2:C51)</f>
        <v>2</v>
      </c>
      <c r="C29" s="50">
        <f>COUNTBLANK(Sheet1!C2:C51)</f>
        <v>2</v>
      </c>
    </row>
    <row r="30" spans="1:4">
      <c r="A30" t="s">
        <v>248</v>
      </c>
      <c r="B30">
        <f>COUNTBLANK(Sheet1!G2:G51)</f>
        <v>13</v>
      </c>
      <c r="C30" s="50">
        <f>COUNTBLANK(Sheet1!G2:G51)</f>
        <v>13</v>
      </c>
    </row>
    <row r="31" spans="1:4">
      <c r="A31" t="s">
        <v>214</v>
      </c>
      <c r="B31" s="48">
        <f>SUM(Sheet1!F2:F51)</f>
        <v>10895443.509999998</v>
      </c>
      <c r="C31" s="50">
        <f>SUM(Sheet1!F2:F51)</f>
        <v>10895443.509999998</v>
      </c>
    </row>
    <row r="32" spans="1:4">
      <c r="A32" t="s">
        <v>83</v>
      </c>
      <c r="B32" s="49">
        <f>SUM(Sheet1!D2:D51)</f>
        <v>132124</v>
      </c>
      <c r="C32" s="50">
        <f>SUM(Sheet1!D2:D51)</f>
        <v>132124</v>
      </c>
    </row>
    <row r="33" spans="1:3">
      <c r="A33" t="s">
        <v>84</v>
      </c>
      <c r="B33" s="48">
        <f>AVERAGE(Sheet1!E2:E51)</f>
        <v>120.67439999999999</v>
      </c>
      <c r="C33" s="50">
        <f>AVERAGE(Sheet1!E2:E51)</f>
        <v>120.67439999999999</v>
      </c>
    </row>
    <row r="34" spans="1:3">
      <c r="A34" t="s">
        <v>85</v>
      </c>
      <c r="B34" s="48">
        <f>MAX(Sheet1!E2:E51)</f>
        <v>892.75</v>
      </c>
      <c r="C34" s="50">
        <f>MAX(Sheet1!E2:E51)</f>
        <v>892.75</v>
      </c>
    </row>
    <row r="35" spans="1:3">
      <c r="A35" t="s">
        <v>86</v>
      </c>
      <c r="B35" s="48">
        <f>MIN(Sheet1!E2:E51)</f>
        <v>9.8000000000000007</v>
      </c>
      <c r="C35" s="50">
        <f>MIN(Sheet1!E2:E51)</f>
        <v>9.8000000000000007</v>
      </c>
    </row>
    <row r="36" spans="1:3">
      <c r="A36" t="s">
        <v>288</v>
      </c>
      <c r="B36">
        <f>COUNTIF(Sheet1!G2:G51,"Urgent review required")</f>
        <v>11</v>
      </c>
      <c r="C36" s="50" t="s">
        <v>303</v>
      </c>
    </row>
    <row r="37" spans="1:3">
      <c r="A37" t="s">
        <v>289</v>
      </c>
      <c r="B37" cm="1">
        <f t="array" ref="B37">SUMPRODUCT((ROUND(Sheet1!D2:D51*Sheet1!E2:E51,2)&lt;&gt;Sheet1!F2:F51)*1)</f>
        <v>3</v>
      </c>
      <c r="C37" s="50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2026-04-16T08:43:07Z</dcterms:created>
  <dcterms:modified xsi:type="dcterms:W3CDTF">2026-08-14T09:06:13Z</dcterms:modified>
  <cp:category/>
  <cp:contentStatus/>
</cp:coreProperties>
</file>